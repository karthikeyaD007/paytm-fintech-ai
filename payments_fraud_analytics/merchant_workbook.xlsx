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chants" sheetId="1" state="visible" r:id="rId1"/>
    <sheet xmlns:r="http://schemas.openxmlformats.org/officeDocument/2006/relationships" name="Fee_Tiers" sheetId="2" state="visible" r:id="rId2"/>
    <sheet xmlns:r="http://schemas.openxmlformats.org/officeDocument/2006/relationships" name="Merchant_Day_Analysis" sheetId="3" state="visible" r:id="rId3"/>
    <sheet xmlns:r="http://schemas.openxmlformats.org/officeDocument/2006/relationships" name="Transactions_View" sheetId="4" state="visible" r:id="rId4"/>
    <sheet xmlns:r="http://schemas.openxmlformats.org/officeDocument/2006/relationships" name="Merchant_Status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yyyy-mm-dd"/>
    <numFmt numFmtId="166" formatCode="yyyy-mm-dd h:mm:ss"/>
    <numFmt numFmtId="167" formatCode="yyyy-mm-dd hh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C00000"/>
    </font>
    <font>
      <b val="1"/>
    </font>
    <font>
      <b val="1"/>
      <color rgb="00305496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ansactionsViewTable" displayName="TransactionsViewTable" ref="A1:P548" headerRowCount="1">
  <autoFilter ref="A1:P548"/>
  <tableColumns count="16">
    <tableColumn id="1" name="transaction_id"/>
    <tableColumn id="2" name="user_id"/>
    <tableColumn id="3" name="merchant_id"/>
    <tableColumn id="4" name="transaction_time"/>
    <tableColumn id="5" name="amount_inr"/>
    <tableColumn id="6" name="payment_method"/>
    <tableColumn id="7" name="status"/>
    <tableColumn id="8" name="risk_score"/>
    <tableColumn id="9" name="merchant_name (VLOOKUP)"/>
    <tableColumn id="10" name="category (VLOOKUP)"/>
    <tableColumn id="11" name="region (VLOOKUP)"/>
    <tableColumn id="12" name="fee_pct (HLOOKUP)"/>
    <tableColumn id="13" name="fee_amount_inr"/>
    <tableColumn id="14" name="txn_date"/>
    <tableColumn id="15" name="merchant_day_key"/>
    <tableColumn id="16" name="day_classification (VLOOKUP link-back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merchant_id</t>
        </is>
      </c>
      <c r="B1" s="1" t="inlineStr">
        <is>
          <t>merchant_name</t>
        </is>
      </c>
      <c r="C1" s="1" t="inlineStr">
        <is>
          <t>category</t>
        </is>
      </c>
      <c r="D1" s="1" t="inlineStr">
        <is>
          <t>region</t>
        </is>
      </c>
    </row>
    <row r="2">
      <c r="A2" t="n">
        <v>1</v>
      </c>
      <c r="B2" t="inlineStr">
        <is>
          <t>Merchant_001</t>
        </is>
      </c>
      <c r="C2" t="inlineStr">
        <is>
          <t>ecommerce</t>
        </is>
      </c>
      <c r="D2" t="inlineStr">
        <is>
          <t>South</t>
        </is>
      </c>
    </row>
    <row r="3">
      <c r="A3" t="n">
        <v>2</v>
      </c>
      <c r="B3" t="inlineStr">
        <is>
          <t>Merchant_002</t>
        </is>
      </c>
      <c r="C3" t="inlineStr">
        <is>
          <t>grocery</t>
        </is>
      </c>
      <c r="D3" t="inlineStr">
        <is>
          <t>West</t>
        </is>
      </c>
    </row>
    <row r="4">
      <c r="A4" t="n">
        <v>3</v>
      </c>
      <c r="B4" t="inlineStr">
        <is>
          <t>Merchant_003</t>
        </is>
      </c>
      <c r="C4" t="inlineStr">
        <is>
          <t>grocery</t>
        </is>
      </c>
      <c r="D4" t="inlineStr">
        <is>
          <t>East</t>
        </is>
      </c>
    </row>
    <row r="5">
      <c r="A5" t="n">
        <v>4</v>
      </c>
      <c r="B5" t="inlineStr">
        <is>
          <t>Merchant_004</t>
        </is>
      </c>
      <c r="C5" t="inlineStr">
        <is>
          <t>ecommerce</t>
        </is>
      </c>
      <c r="D5" t="inlineStr">
        <is>
          <t>East</t>
        </is>
      </c>
    </row>
    <row r="6">
      <c r="A6" t="n">
        <v>5</v>
      </c>
      <c r="B6" t="inlineStr">
        <is>
          <t>Merchant_005</t>
        </is>
      </c>
      <c r="C6" t="inlineStr">
        <is>
          <t>recharge</t>
        </is>
      </c>
      <c r="D6" t="inlineStr">
        <is>
          <t>South</t>
        </is>
      </c>
    </row>
    <row r="7">
      <c r="A7" t="n">
        <v>6</v>
      </c>
      <c r="B7" t="inlineStr">
        <is>
          <t>Merchant_006</t>
        </is>
      </c>
      <c r="C7" t="inlineStr">
        <is>
          <t>food_delivery</t>
        </is>
      </c>
      <c r="D7" t="inlineStr">
        <is>
          <t>South</t>
        </is>
      </c>
    </row>
    <row r="8">
      <c r="A8" t="n">
        <v>7</v>
      </c>
      <c r="B8" t="inlineStr">
        <is>
          <t>Merchant_007</t>
        </is>
      </c>
      <c r="C8" t="inlineStr">
        <is>
          <t>food_delivery</t>
        </is>
      </c>
      <c r="D8" t="inlineStr">
        <is>
          <t>East</t>
        </is>
      </c>
    </row>
    <row r="9">
      <c r="A9" t="n">
        <v>8</v>
      </c>
      <c r="B9" t="inlineStr">
        <is>
          <t>Merchant_008</t>
        </is>
      </c>
      <c r="C9" t="inlineStr">
        <is>
          <t>food_delivery</t>
        </is>
      </c>
      <c r="D9" t="inlineStr">
        <is>
          <t>North</t>
        </is>
      </c>
    </row>
    <row r="10">
      <c r="A10" t="n">
        <v>9</v>
      </c>
      <c r="B10" t="inlineStr">
        <is>
          <t>Merchant_009</t>
        </is>
      </c>
      <c r="C10" t="inlineStr">
        <is>
          <t>ecommerce</t>
        </is>
      </c>
      <c r="D10" t="inlineStr">
        <is>
          <t>North</t>
        </is>
      </c>
    </row>
    <row r="11">
      <c r="A11" t="n">
        <v>10</v>
      </c>
      <c r="B11" t="inlineStr">
        <is>
          <t>Merchant_010</t>
        </is>
      </c>
      <c r="C11" t="inlineStr">
        <is>
          <t>grocery</t>
        </is>
      </c>
      <c r="D11" t="inlineStr">
        <is>
          <t>West</t>
        </is>
      </c>
    </row>
    <row r="12">
      <c r="A12" t="n">
        <v>11</v>
      </c>
      <c r="B12" t="inlineStr">
        <is>
          <t>Merchant_011</t>
        </is>
      </c>
      <c r="C12" t="inlineStr">
        <is>
          <t>ecommerce</t>
        </is>
      </c>
      <c r="D12" t="inlineStr">
        <is>
          <t>North</t>
        </is>
      </c>
    </row>
    <row r="13">
      <c r="A13" t="n">
        <v>12</v>
      </c>
      <c r="B13" t="inlineStr">
        <is>
          <t>Merchant_012</t>
        </is>
      </c>
      <c r="C13" t="inlineStr">
        <is>
          <t>ecommerce</t>
        </is>
      </c>
      <c r="D13" t="inlineStr">
        <is>
          <t>East</t>
        </is>
      </c>
    </row>
    <row r="14">
      <c r="A14" t="n">
        <v>13</v>
      </c>
      <c r="B14" t="inlineStr">
        <is>
          <t>Merchant_013</t>
        </is>
      </c>
      <c r="C14" t="inlineStr">
        <is>
          <t>travel</t>
        </is>
      </c>
      <c r="D14" t="inlineStr">
        <is>
          <t>East</t>
        </is>
      </c>
    </row>
    <row r="15">
      <c r="A15" t="n">
        <v>14</v>
      </c>
      <c r="B15" t="inlineStr">
        <is>
          <t>Merchant_014</t>
        </is>
      </c>
      <c r="C15" t="inlineStr">
        <is>
          <t>grocery</t>
        </is>
      </c>
      <c r="D15" t="inlineStr">
        <is>
          <t>East</t>
        </is>
      </c>
    </row>
    <row r="16">
      <c r="A16" t="n">
        <v>15</v>
      </c>
      <c r="B16" t="inlineStr">
        <is>
          <t>Merchant_015</t>
        </is>
      </c>
      <c r="C16" t="inlineStr">
        <is>
          <t>travel</t>
        </is>
      </c>
      <c r="D16" t="inlineStr">
        <is>
          <t>North</t>
        </is>
      </c>
    </row>
    <row r="17">
      <c r="A17" t="n">
        <v>16</v>
      </c>
      <c r="B17" t="inlineStr">
        <is>
          <t>Merchant_016</t>
        </is>
      </c>
      <c r="C17" t="inlineStr">
        <is>
          <t>bill_payment</t>
        </is>
      </c>
      <c r="D17" t="inlineStr">
        <is>
          <t>West</t>
        </is>
      </c>
    </row>
    <row r="18">
      <c r="A18" t="n">
        <v>17</v>
      </c>
      <c r="B18" t="inlineStr">
        <is>
          <t>Merchant_017</t>
        </is>
      </c>
      <c r="C18" t="inlineStr">
        <is>
          <t>grocery</t>
        </is>
      </c>
      <c r="D18" t="inlineStr">
        <is>
          <t>North</t>
        </is>
      </c>
    </row>
    <row r="19">
      <c r="A19" t="n">
        <v>18</v>
      </c>
      <c r="B19" t="inlineStr">
        <is>
          <t>Merchant_018</t>
        </is>
      </c>
      <c r="C19" t="inlineStr">
        <is>
          <t>grocery</t>
        </is>
      </c>
      <c r="D19" t="inlineStr">
        <is>
          <t>West</t>
        </is>
      </c>
    </row>
    <row r="20">
      <c r="A20" t="n">
        <v>19</v>
      </c>
      <c r="B20" t="inlineStr">
        <is>
          <t>Merchant_019</t>
        </is>
      </c>
      <c r="C20" t="inlineStr">
        <is>
          <t>grocery</t>
        </is>
      </c>
      <c r="D20" t="inlineStr">
        <is>
          <t>North</t>
        </is>
      </c>
    </row>
    <row r="21">
      <c r="A21" t="n">
        <v>20</v>
      </c>
      <c r="B21" t="inlineStr">
        <is>
          <t>Merchant_020</t>
        </is>
      </c>
      <c r="C21" t="inlineStr">
        <is>
          <t>food_delivery</t>
        </is>
      </c>
      <c r="D21" t="inlineStr">
        <is>
          <t>East</t>
        </is>
      </c>
    </row>
    <row r="22">
      <c r="A22" t="n">
        <v>21</v>
      </c>
      <c r="B22" t="inlineStr">
        <is>
          <t>Merchant_021</t>
        </is>
      </c>
      <c r="C22" t="inlineStr">
        <is>
          <t>food_delivery</t>
        </is>
      </c>
      <c r="D22" t="inlineStr">
        <is>
          <t>East</t>
        </is>
      </c>
    </row>
    <row r="23">
      <c r="A23" t="n">
        <v>22</v>
      </c>
      <c r="B23" t="inlineStr">
        <is>
          <t>Merchant_022</t>
        </is>
      </c>
      <c r="C23" t="inlineStr">
        <is>
          <t>travel</t>
        </is>
      </c>
      <c r="D23" t="inlineStr">
        <is>
          <t>South</t>
        </is>
      </c>
    </row>
    <row r="24">
      <c r="A24" t="n">
        <v>23</v>
      </c>
      <c r="B24" t="inlineStr">
        <is>
          <t>Merchant_023</t>
        </is>
      </c>
      <c r="C24" t="inlineStr">
        <is>
          <t>travel</t>
        </is>
      </c>
      <c r="D24" t="inlineStr">
        <is>
          <t>North</t>
        </is>
      </c>
    </row>
    <row r="25">
      <c r="A25" t="n">
        <v>24</v>
      </c>
      <c r="B25" t="inlineStr">
        <is>
          <t>Merchant_024</t>
        </is>
      </c>
      <c r="C25" t="inlineStr">
        <is>
          <t>grocery</t>
        </is>
      </c>
      <c r="D25" t="inlineStr">
        <is>
          <t>North</t>
        </is>
      </c>
    </row>
    <row r="26">
      <c r="A26" t="n">
        <v>25</v>
      </c>
      <c r="B26" t="inlineStr">
        <is>
          <t>Merchant_025</t>
        </is>
      </c>
      <c r="C26" t="inlineStr">
        <is>
          <t>travel</t>
        </is>
      </c>
      <c r="D26" t="inlineStr">
        <is>
          <t>South</t>
        </is>
      </c>
    </row>
    <row r="27">
      <c r="A27" t="n">
        <v>26</v>
      </c>
      <c r="B27" t="inlineStr">
        <is>
          <t>Merchant_026</t>
        </is>
      </c>
      <c r="C27" t="inlineStr">
        <is>
          <t>food_delivery</t>
        </is>
      </c>
      <c r="D27" t="inlineStr">
        <is>
          <t>East</t>
        </is>
      </c>
    </row>
    <row r="28">
      <c r="A28" t="n">
        <v>27</v>
      </c>
      <c r="B28" t="inlineStr">
        <is>
          <t>Merchant_027</t>
        </is>
      </c>
      <c r="C28" t="inlineStr">
        <is>
          <t>ecommerce</t>
        </is>
      </c>
      <c r="D28" t="inlineStr">
        <is>
          <t>North</t>
        </is>
      </c>
    </row>
    <row r="29">
      <c r="A29" t="n">
        <v>28</v>
      </c>
      <c r="B29" t="inlineStr">
        <is>
          <t>Merchant_028</t>
        </is>
      </c>
      <c r="C29" t="inlineStr">
        <is>
          <t>ecommerce</t>
        </is>
      </c>
      <c r="D29" t="inlineStr">
        <is>
          <t>South</t>
        </is>
      </c>
    </row>
    <row r="30">
      <c r="A30" t="n">
        <v>29</v>
      </c>
      <c r="B30" t="inlineStr">
        <is>
          <t>Merchant_029</t>
        </is>
      </c>
      <c r="C30" t="inlineStr">
        <is>
          <t>ecommerce</t>
        </is>
      </c>
      <c r="D30" t="inlineStr">
        <is>
          <t>North</t>
        </is>
      </c>
    </row>
    <row r="31">
      <c r="A31" t="n">
        <v>30</v>
      </c>
      <c r="B31" t="inlineStr">
        <is>
          <t>Merchant_030</t>
        </is>
      </c>
      <c r="C31" t="inlineStr">
        <is>
          <t>travel</t>
        </is>
      </c>
      <c r="D31" t="inlineStr">
        <is>
          <t>West</t>
        </is>
      </c>
    </row>
    <row r="32">
      <c r="A32" t="n">
        <v>31</v>
      </c>
      <c r="B32" t="inlineStr">
        <is>
          <t>Merchant_031</t>
        </is>
      </c>
      <c r="C32" t="inlineStr">
        <is>
          <t>bill_payment</t>
        </is>
      </c>
      <c r="D32" t="inlineStr">
        <is>
          <t>East</t>
        </is>
      </c>
    </row>
    <row r="33">
      <c r="A33" t="n">
        <v>32</v>
      </c>
      <c r="B33" t="inlineStr">
        <is>
          <t>Merchant_032</t>
        </is>
      </c>
      <c r="C33" t="inlineStr">
        <is>
          <t>food_delivery</t>
        </is>
      </c>
      <c r="D33" t="inlineStr">
        <is>
          <t>West</t>
        </is>
      </c>
    </row>
    <row r="34">
      <c r="A34" t="n">
        <v>33</v>
      </c>
      <c r="B34" t="inlineStr">
        <is>
          <t>Merchant_033</t>
        </is>
      </c>
      <c r="C34" t="inlineStr">
        <is>
          <t>bill_payment</t>
        </is>
      </c>
      <c r="D34" t="inlineStr">
        <is>
          <t>East</t>
        </is>
      </c>
    </row>
    <row r="35">
      <c r="A35" t="n">
        <v>34</v>
      </c>
      <c r="B35" t="inlineStr">
        <is>
          <t>Merchant_034</t>
        </is>
      </c>
      <c r="C35" t="inlineStr">
        <is>
          <t>travel</t>
        </is>
      </c>
      <c r="D35" t="inlineStr">
        <is>
          <t>South</t>
        </is>
      </c>
    </row>
    <row r="36">
      <c r="A36" t="n">
        <v>35</v>
      </c>
      <c r="B36" t="inlineStr">
        <is>
          <t>Merchant_035</t>
        </is>
      </c>
      <c r="C36" t="inlineStr">
        <is>
          <t>recharge</t>
        </is>
      </c>
      <c r="D36" t="inlineStr">
        <is>
          <t>East</t>
        </is>
      </c>
    </row>
    <row r="37">
      <c r="A37" t="n">
        <v>36</v>
      </c>
      <c r="B37" t="inlineStr">
        <is>
          <t>Merchant_036</t>
        </is>
      </c>
      <c r="C37" t="inlineStr">
        <is>
          <t>entertainment</t>
        </is>
      </c>
      <c r="D37" t="inlineStr">
        <is>
          <t>East</t>
        </is>
      </c>
    </row>
    <row r="38">
      <c r="A38" t="n">
        <v>37</v>
      </c>
      <c r="B38" t="inlineStr">
        <is>
          <t>Merchant_037</t>
        </is>
      </c>
      <c r="C38" t="inlineStr">
        <is>
          <t>entertainment</t>
        </is>
      </c>
      <c r="D38" t="inlineStr">
        <is>
          <t>South</t>
        </is>
      </c>
    </row>
    <row r="39">
      <c r="A39" t="n">
        <v>38</v>
      </c>
      <c r="B39" t="inlineStr">
        <is>
          <t>Merchant_038</t>
        </is>
      </c>
      <c r="C39" t="inlineStr">
        <is>
          <t>grocery</t>
        </is>
      </c>
      <c r="D39" t="inlineStr">
        <is>
          <t>East</t>
        </is>
      </c>
    </row>
    <row r="40">
      <c r="A40" t="n">
        <v>39</v>
      </c>
      <c r="B40" t="inlineStr">
        <is>
          <t>Merchant_039</t>
        </is>
      </c>
      <c r="C40" t="inlineStr">
        <is>
          <t>entertainment</t>
        </is>
      </c>
      <c r="D40" t="inlineStr">
        <is>
          <t>North</t>
        </is>
      </c>
    </row>
    <row r="41">
      <c r="A41" t="n">
        <v>40</v>
      </c>
      <c r="B41" t="inlineStr">
        <is>
          <t>Merchant_040</t>
        </is>
      </c>
      <c r="C41" t="inlineStr">
        <is>
          <t>entertainment</t>
        </is>
      </c>
      <c r="D4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Chosen MDR-style fee percentages (illustrative): UPI=0.0%, Wallet=1.5%, Card=1.8%, Netbanking=1.2%</t>
        </is>
      </c>
    </row>
    <row r="2">
      <c r="A2" s="1" t="inlineStr">
        <is>
          <t>Payment Method</t>
        </is>
      </c>
      <c r="B2" s="1" t="inlineStr">
        <is>
          <t>UPI</t>
        </is>
      </c>
      <c r="C2" s="1" t="inlineStr">
        <is>
          <t>Wallet</t>
        </is>
      </c>
      <c r="D2" s="1" t="inlineStr">
        <is>
          <t>Card</t>
        </is>
      </c>
      <c r="E2" s="1" t="inlineStr">
        <is>
          <t>Netbanking</t>
        </is>
      </c>
    </row>
    <row r="3">
      <c r="A3" s="3" t="inlineStr">
        <is>
          <t>Fee % (MDR-style)</t>
        </is>
      </c>
      <c r="B3" s="4" t="n">
        <v>0</v>
      </c>
      <c r="C3" s="4" t="n">
        <v>0.015</v>
      </c>
      <c r="D3" s="4" t="n">
        <v>0.018</v>
      </c>
      <c r="E3" s="4" t="n">
        <v>0.012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PIVOT-STYLE AGGREGATION (static values, computed with pandas groupby by merchant_id x day — NOT a live Excel PivotTable, since openpyxl cannot create live PivotTable objects).</t>
        </is>
      </c>
    </row>
    <row r="2">
      <c r="A2" s="2" t="inlineStr">
        <is>
          <t>EXACT RULE: classification = "High-Value Merchant Day" when daily_total_inr &gt; 5000 AND region &lt;&gt; "East"; otherwise "Normal".</t>
        </is>
      </c>
    </row>
    <row r="4">
      <c r="A4" s="1" t="inlineStr">
        <is>
          <t>merchant_day_key</t>
        </is>
      </c>
      <c r="B4" s="1" t="inlineStr">
        <is>
          <t>merchant_id</t>
        </is>
      </c>
      <c r="C4" s="1" t="inlineStr">
        <is>
          <t>merchant_name</t>
        </is>
      </c>
      <c r="D4" s="1" t="inlineStr">
        <is>
          <t>region</t>
        </is>
      </c>
      <c r="E4" s="1" t="inlineStr">
        <is>
          <t>txn_date</t>
        </is>
      </c>
      <c r="F4" s="1" t="inlineStr">
        <is>
          <t>daily_total_inr</t>
        </is>
      </c>
      <c r="G4" s="1" t="inlineStr">
        <is>
          <t>classification (nested IF/AND)</t>
        </is>
      </c>
    </row>
    <row r="5">
      <c r="A5" t="inlineStr">
        <is>
          <t>1_2026-01-05</t>
        </is>
      </c>
      <c r="B5" t="n">
        <v>1</v>
      </c>
      <c r="C5" t="inlineStr">
        <is>
          <t>Merchant_001</t>
        </is>
      </c>
      <c r="D5" t="inlineStr">
        <is>
          <t>South</t>
        </is>
      </c>
      <c r="E5" s="5" t="n">
        <v>46027</v>
      </c>
      <c r="F5" t="n">
        <v>1499</v>
      </c>
      <c r="G5">
        <f>IF(AND(F5&gt;5000,D5&lt;&gt;"East"),"High-Value Merchant Day","Normal")</f>
        <v/>
      </c>
    </row>
    <row r="6">
      <c r="A6" t="inlineStr">
        <is>
          <t>1_2026-01-06</t>
        </is>
      </c>
      <c r="B6" t="n">
        <v>1</v>
      </c>
      <c r="C6" t="inlineStr">
        <is>
          <t>Merchant_001</t>
        </is>
      </c>
      <c r="D6" t="inlineStr">
        <is>
          <t>South</t>
        </is>
      </c>
      <c r="E6" s="5" t="n">
        <v>46028</v>
      </c>
      <c r="F6" t="n">
        <v>149</v>
      </c>
      <c r="G6">
        <f>IF(AND(F6&gt;5000,D6&lt;&gt;"East"),"High-Value Merchant Day","Normal")</f>
        <v/>
      </c>
    </row>
    <row r="7">
      <c r="A7" t="inlineStr">
        <is>
          <t>1_2026-01-09</t>
        </is>
      </c>
      <c r="B7" t="n">
        <v>1</v>
      </c>
      <c r="C7" t="inlineStr">
        <is>
          <t>Merchant_001</t>
        </is>
      </c>
      <c r="D7" t="inlineStr">
        <is>
          <t>South</t>
        </is>
      </c>
      <c r="E7" s="5" t="n">
        <v>46031</v>
      </c>
      <c r="F7" t="n">
        <v>5048</v>
      </c>
      <c r="G7">
        <f>IF(AND(F7&gt;5000,D7&lt;&gt;"East"),"High-Value Merchant Day","Normal")</f>
        <v/>
      </c>
    </row>
    <row r="8">
      <c r="A8" t="inlineStr">
        <is>
          <t>1_2026-01-11</t>
        </is>
      </c>
      <c r="B8" t="n">
        <v>1</v>
      </c>
      <c r="C8" t="inlineStr">
        <is>
          <t>Merchant_001</t>
        </is>
      </c>
      <c r="D8" t="inlineStr">
        <is>
          <t>South</t>
        </is>
      </c>
      <c r="E8" s="5" t="n">
        <v>46033</v>
      </c>
      <c r="F8" t="n">
        <v>299</v>
      </c>
      <c r="G8">
        <f>IF(AND(F8&gt;5000,D8&lt;&gt;"East"),"High-Value Merchant Day","Normal")</f>
        <v/>
      </c>
    </row>
    <row r="9">
      <c r="A9" t="inlineStr">
        <is>
          <t>1_2026-01-12</t>
        </is>
      </c>
      <c r="B9" t="n">
        <v>1</v>
      </c>
      <c r="C9" t="inlineStr">
        <is>
          <t>Merchant_001</t>
        </is>
      </c>
      <c r="D9" t="inlineStr">
        <is>
          <t>South</t>
        </is>
      </c>
      <c r="E9" s="5" t="n">
        <v>46034</v>
      </c>
      <c r="F9" t="n">
        <v>149</v>
      </c>
      <c r="G9">
        <f>IF(AND(F9&gt;5000,D9&lt;&gt;"East"),"High-Value Merchant Day","Normal")</f>
        <v/>
      </c>
    </row>
    <row r="10">
      <c r="A10" t="inlineStr">
        <is>
          <t>1_2026-01-17</t>
        </is>
      </c>
      <c r="B10" t="n">
        <v>1</v>
      </c>
      <c r="C10" t="inlineStr">
        <is>
          <t>Merchant_001</t>
        </is>
      </c>
      <c r="D10" t="inlineStr">
        <is>
          <t>South</t>
        </is>
      </c>
      <c r="E10" s="5" t="n">
        <v>46039</v>
      </c>
      <c r="F10" t="n">
        <v>149</v>
      </c>
      <c r="G10">
        <f>IF(AND(F10&gt;5000,D10&lt;&gt;"East"),"High-Value Merchant Day","Normal")</f>
        <v/>
      </c>
    </row>
    <row r="11">
      <c r="A11" t="inlineStr">
        <is>
          <t>1_2026-01-23</t>
        </is>
      </c>
      <c r="B11" t="n">
        <v>1</v>
      </c>
      <c r="C11" t="inlineStr">
        <is>
          <t>Merchant_001</t>
        </is>
      </c>
      <c r="D11" t="inlineStr">
        <is>
          <t>South</t>
        </is>
      </c>
      <c r="E11" s="5" t="n">
        <v>46045</v>
      </c>
      <c r="F11" t="n">
        <v>3148</v>
      </c>
      <c r="G11">
        <f>IF(AND(F11&gt;5000,D11&lt;&gt;"East"),"High-Value Merchant Day","Normal")</f>
        <v/>
      </c>
    </row>
    <row r="12">
      <c r="A12" t="inlineStr">
        <is>
          <t>2_2026-01-07</t>
        </is>
      </c>
      <c r="B12" t="n">
        <v>2</v>
      </c>
      <c r="C12" t="inlineStr">
        <is>
          <t>Merchant_002</t>
        </is>
      </c>
      <c r="D12" t="inlineStr">
        <is>
          <t>West</t>
        </is>
      </c>
      <c r="E12" s="5" t="n">
        <v>46029</v>
      </c>
      <c r="F12" t="n">
        <v>499</v>
      </c>
      <c r="G12">
        <f>IF(AND(F12&gt;5000,D12&lt;&gt;"East"),"High-Value Merchant Day","Normal")</f>
        <v/>
      </c>
    </row>
    <row r="13">
      <c r="A13" t="inlineStr">
        <is>
          <t>2_2026-01-08</t>
        </is>
      </c>
      <c r="B13" t="n">
        <v>2</v>
      </c>
      <c r="C13" t="inlineStr">
        <is>
          <t>Merchant_002</t>
        </is>
      </c>
      <c r="D13" t="inlineStr">
        <is>
          <t>West</t>
        </is>
      </c>
      <c r="E13" s="5" t="n">
        <v>46030</v>
      </c>
      <c r="F13" t="n">
        <v>299</v>
      </c>
      <c r="G13">
        <f>IF(AND(F13&gt;5000,D13&lt;&gt;"East"),"High-Value Merchant Day","Normal")</f>
        <v/>
      </c>
    </row>
    <row r="14">
      <c r="A14" t="inlineStr">
        <is>
          <t>2_2026-01-12</t>
        </is>
      </c>
      <c r="B14" t="n">
        <v>2</v>
      </c>
      <c r="C14" t="inlineStr">
        <is>
          <t>Merchant_002</t>
        </is>
      </c>
      <c r="D14" t="inlineStr">
        <is>
          <t>West</t>
        </is>
      </c>
      <c r="E14" s="5" t="n">
        <v>46034</v>
      </c>
      <c r="F14" t="n">
        <v>348</v>
      </c>
      <c r="G14">
        <f>IF(AND(F14&gt;5000,D14&lt;&gt;"East"),"High-Value Merchant Day","Normal")</f>
        <v/>
      </c>
    </row>
    <row r="15">
      <c r="A15" t="inlineStr">
        <is>
          <t>2_2026-01-13</t>
        </is>
      </c>
      <c r="B15" t="n">
        <v>2</v>
      </c>
      <c r="C15" t="inlineStr">
        <is>
          <t>Merchant_002</t>
        </is>
      </c>
      <c r="D15" t="inlineStr">
        <is>
          <t>West</t>
        </is>
      </c>
      <c r="E15" s="5" t="n">
        <v>46035</v>
      </c>
      <c r="F15" t="n">
        <v>49</v>
      </c>
      <c r="G15">
        <f>IF(AND(F15&gt;5000,D15&lt;&gt;"East"),"High-Value Merchant Day","Normal")</f>
        <v/>
      </c>
    </row>
    <row r="16">
      <c r="A16" t="inlineStr">
        <is>
          <t>2_2026-01-15</t>
        </is>
      </c>
      <c r="B16" t="n">
        <v>2</v>
      </c>
      <c r="C16" t="inlineStr">
        <is>
          <t>Merchant_002</t>
        </is>
      </c>
      <c r="D16" t="inlineStr">
        <is>
          <t>West</t>
        </is>
      </c>
      <c r="E16" s="5" t="n">
        <v>46037</v>
      </c>
      <c r="F16" t="n">
        <v>1499</v>
      </c>
      <c r="G16">
        <f>IF(AND(F16&gt;5000,D16&lt;&gt;"East"),"High-Value Merchant Day","Normal")</f>
        <v/>
      </c>
    </row>
    <row r="17">
      <c r="A17" t="inlineStr">
        <is>
          <t>2_2026-01-19</t>
        </is>
      </c>
      <c r="B17" t="n">
        <v>2</v>
      </c>
      <c r="C17" t="inlineStr">
        <is>
          <t>Merchant_002</t>
        </is>
      </c>
      <c r="D17" t="inlineStr">
        <is>
          <t>West</t>
        </is>
      </c>
      <c r="E17" s="5" t="n">
        <v>46041</v>
      </c>
      <c r="F17" t="n">
        <v>49</v>
      </c>
      <c r="G17">
        <f>IF(AND(F17&gt;5000,D17&lt;&gt;"East"),"High-Value Merchant Day","Normal")</f>
        <v/>
      </c>
    </row>
    <row r="18">
      <c r="A18" t="inlineStr">
        <is>
          <t>2_2026-01-22</t>
        </is>
      </c>
      <c r="B18" t="n">
        <v>2</v>
      </c>
      <c r="C18" t="inlineStr">
        <is>
          <t>Merchant_002</t>
        </is>
      </c>
      <c r="D18" t="inlineStr">
        <is>
          <t>West</t>
        </is>
      </c>
      <c r="E18" s="5" t="n">
        <v>46044</v>
      </c>
      <c r="F18" t="n">
        <v>299</v>
      </c>
      <c r="G18">
        <f>IF(AND(F18&gt;5000,D18&lt;&gt;"East"),"High-Value Merchant Day","Normal")</f>
        <v/>
      </c>
    </row>
    <row r="19">
      <c r="A19" t="inlineStr">
        <is>
          <t>2_2026-01-26</t>
        </is>
      </c>
      <c r="B19" t="n">
        <v>2</v>
      </c>
      <c r="C19" t="inlineStr">
        <is>
          <t>Merchant_002</t>
        </is>
      </c>
      <c r="D19" t="inlineStr">
        <is>
          <t>West</t>
        </is>
      </c>
      <c r="E19" s="5" t="n">
        <v>46048</v>
      </c>
      <c r="F19" t="n">
        <v>299</v>
      </c>
      <c r="G19">
        <f>IF(AND(F19&gt;5000,D19&lt;&gt;"East"),"High-Value Merchant Day","Normal")</f>
        <v/>
      </c>
    </row>
    <row r="20">
      <c r="A20" t="inlineStr">
        <is>
          <t>2_2026-01-30</t>
        </is>
      </c>
      <c r="B20" t="n">
        <v>2</v>
      </c>
      <c r="C20" t="inlineStr">
        <is>
          <t>Merchant_002</t>
        </is>
      </c>
      <c r="D20" t="inlineStr">
        <is>
          <t>West</t>
        </is>
      </c>
      <c r="E20" s="5" t="n">
        <v>46052</v>
      </c>
      <c r="F20" t="n">
        <v>299</v>
      </c>
      <c r="G20">
        <f>IF(AND(F20&gt;5000,D20&lt;&gt;"East"),"High-Value Merchant Day","Normal")</f>
        <v/>
      </c>
    </row>
    <row r="21">
      <c r="A21" t="inlineStr">
        <is>
          <t>3_2026-01-03</t>
        </is>
      </c>
      <c r="B21" t="n">
        <v>3</v>
      </c>
      <c r="C21" t="inlineStr">
        <is>
          <t>Merchant_003</t>
        </is>
      </c>
      <c r="D21" t="inlineStr">
        <is>
          <t>East</t>
        </is>
      </c>
      <c r="E21" s="5" t="n">
        <v>46025</v>
      </c>
      <c r="F21" t="n">
        <v>198</v>
      </c>
      <c r="G21">
        <f>IF(AND(F21&gt;5000,D21&lt;&gt;"East"),"High-Value Merchant Day","Normal")</f>
        <v/>
      </c>
    </row>
    <row r="22">
      <c r="A22" t="inlineStr">
        <is>
          <t>3_2026-01-05</t>
        </is>
      </c>
      <c r="B22" t="n">
        <v>3</v>
      </c>
      <c r="C22" t="inlineStr">
        <is>
          <t>Merchant_003</t>
        </is>
      </c>
      <c r="D22" t="inlineStr">
        <is>
          <t>East</t>
        </is>
      </c>
      <c r="E22" s="5" t="n">
        <v>46027</v>
      </c>
      <c r="F22" t="n">
        <v>99</v>
      </c>
      <c r="G22">
        <f>IF(AND(F22&gt;5000,D22&lt;&gt;"East"),"High-Value Merchant Day","Normal")</f>
        <v/>
      </c>
    </row>
    <row r="23">
      <c r="A23" t="inlineStr">
        <is>
          <t>3_2026-01-06</t>
        </is>
      </c>
      <c r="B23" t="n">
        <v>3</v>
      </c>
      <c r="C23" t="inlineStr">
        <is>
          <t>Merchant_003</t>
        </is>
      </c>
      <c r="D23" t="inlineStr">
        <is>
          <t>East</t>
        </is>
      </c>
      <c r="E23" s="5" t="n">
        <v>46028</v>
      </c>
      <c r="F23" t="n">
        <v>898</v>
      </c>
      <c r="G23">
        <f>IF(AND(F23&gt;5000,D23&lt;&gt;"East"),"High-Value Merchant Day","Normal")</f>
        <v/>
      </c>
    </row>
    <row r="24">
      <c r="A24" t="inlineStr">
        <is>
          <t>3_2026-01-07</t>
        </is>
      </c>
      <c r="B24" t="n">
        <v>3</v>
      </c>
      <c r="C24" t="inlineStr">
        <is>
          <t>Merchant_003</t>
        </is>
      </c>
      <c r="D24" t="inlineStr">
        <is>
          <t>East</t>
        </is>
      </c>
      <c r="E24" s="5" t="n">
        <v>46029</v>
      </c>
      <c r="F24" t="n">
        <v>798</v>
      </c>
      <c r="G24">
        <f>IF(AND(F24&gt;5000,D24&lt;&gt;"East"),"High-Value Merchant Day","Normal")</f>
        <v/>
      </c>
    </row>
    <row r="25">
      <c r="A25" t="inlineStr">
        <is>
          <t>3_2026-01-08</t>
        </is>
      </c>
      <c r="B25" t="n">
        <v>3</v>
      </c>
      <c r="C25" t="inlineStr">
        <is>
          <t>Merchant_003</t>
        </is>
      </c>
      <c r="D25" t="inlineStr">
        <is>
          <t>East</t>
        </is>
      </c>
      <c r="E25" s="5" t="n">
        <v>46030</v>
      </c>
      <c r="F25" t="n">
        <v>149</v>
      </c>
      <c r="G25">
        <f>IF(AND(F25&gt;5000,D25&lt;&gt;"East"),"High-Value Merchant Day","Normal")</f>
        <v/>
      </c>
    </row>
    <row r="26">
      <c r="A26" t="inlineStr">
        <is>
          <t>3_2026-01-13</t>
        </is>
      </c>
      <c r="B26" t="n">
        <v>3</v>
      </c>
      <c r="C26" t="inlineStr">
        <is>
          <t>Merchant_003</t>
        </is>
      </c>
      <c r="D26" t="inlineStr">
        <is>
          <t>East</t>
        </is>
      </c>
      <c r="E26" s="5" t="n">
        <v>46035</v>
      </c>
      <c r="F26" t="n">
        <v>198</v>
      </c>
      <c r="G26">
        <f>IF(AND(F26&gt;5000,D26&lt;&gt;"East"),"High-Value Merchant Day","Normal")</f>
        <v/>
      </c>
    </row>
    <row r="27">
      <c r="A27" t="inlineStr">
        <is>
          <t>3_2026-01-16</t>
        </is>
      </c>
      <c r="B27" t="n">
        <v>3</v>
      </c>
      <c r="C27" t="inlineStr">
        <is>
          <t>Merchant_003</t>
        </is>
      </c>
      <c r="D27" t="inlineStr">
        <is>
          <t>East</t>
        </is>
      </c>
      <c r="E27" s="5" t="n">
        <v>46038</v>
      </c>
      <c r="F27" t="n">
        <v>4999</v>
      </c>
      <c r="G27">
        <f>IF(AND(F27&gt;5000,D27&lt;&gt;"East"),"High-Value Merchant Day","Normal")</f>
        <v/>
      </c>
    </row>
    <row r="28">
      <c r="A28" t="inlineStr">
        <is>
          <t>3_2026-01-20</t>
        </is>
      </c>
      <c r="B28" t="n">
        <v>3</v>
      </c>
      <c r="C28" t="inlineStr">
        <is>
          <t>Merchant_003</t>
        </is>
      </c>
      <c r="D28" t="inlineStr">
        <is>
          <t>East</t>
        </is>
      </c>
      <c r="E28" s="5" t="n">
        <v>46042</v>
      </c>
      <c r="F28" t="n">
        <v>99</v>
      </c>
      <c r="G28">
        <f>IF(AND(F28&gt;5000,D28&lt;&gt;"East"),"High-Value Merchant Day","Normal")</f>
        <v/>
      </c>
    </row>
    <row r="29">
      <c r="A29" t="inlineStr">
        <is>
          <t>3_2026-01-22</t>
        </is>
      </c>
      <c r="B29" t="n">
        <v>3</v>
      </c>
      <c r="C29" t="inlineStr">
        <is>
          <t>Merchant_003</t>
        </is>
      </c>
      <c r="D29" t="inlineStr">
        <is>
          <t>East</t>
        </is>
      </c>
      <c r="E29" s="5" t="n">
        <v>46044</v>
      </c>
      <c r="F29" t="n">
        <v>499</v>
      </c>
      <c r="G29">
        <f>IF(AND(F29&gt;5000,D29&lt;&gt;"East"),"High-Value Merchant Day","Normal")</f>
        <v/>
      </c>
    </row>
    <row r="30">
      <c r="A30" t="inlineStr">
        <is>
          <t>3_2026-01-23</t>
        </is>
      </c>
      <c r="B30" t="n">
        <v>3</v>
      </c>
      <c r="C30" t="inlineStr">
        <is>
          <t>Merchant_003</t>
        </is>
      </c>
      <c r="D30" t="inlineStr">
        <is>
          <t>East</t>
        </is>
      </c>
      <c r="E30" s="5" t="n">
        <v>46045</v>
      </c>
      <c r="F30" t="n">
        <v>49</v>
      </c>
      <c r="G30">
        <f>IF(AND(F30&gt;5000,D30&lt;&gt;"East"),"High-Value Merchant Day","Normal")</f>
        <v/>
      </c>
    </row>
    <row r="31">
      <c r="A31" t="inlineStr">
        <is>
          <t>3_2026-01-26</t>
        </is>
      </c>
      <c r="B31" t="n">
        <v>3</v>
      </c>
      <c r="C31" t="inlineStr">
        <is>
          <t>Merchant_003</t>
        </is>
      </c>
      <c r="D31" t="inlineStr">
        <is>
          <t>East</t>
        </is>
      </c>
      <c r="E31" s="5" t="n">
        <v>46048</v>
      </c>
      <c r="F31" t="n">
        <v>149</v>
      </c>
      <c r="G31">
        <f>IF(AND(F31&gt;5000,D31&lt;&gt;"East"),"High-Value Merchant Day","Normal")</f>
        <v/>
      </c>
    </row>
    <row r="32">
      <c r="A32" t="inlineStr">
        <is>
          <t>3_2026-01-29</t>
        </is>
      </c>
      <c r="B32" t="n">
        <v>3</v>
      </c>
      <c r="C32" t="inlineStr">
        <is>
          <t>Merchant_003</t>
        </is>
      </c>
      <c r="D32" t="inlineStr">
        <is>
          <t>East</t>
        </is>
      </c>
      <c r="E32" s="5" t="n">
        <v>46051</v>
      </c>
      <c r="F32" t="n">
        <v>49</v>
      </c>
      <c r="G32">
        <f>IF(AND(F32&gt;5000,D32&lt;&gt;"East"),"High-Value Merchant Day","Normal")</f>
        <v/>
      </c>
    </row>
    <row r="33">
      <c r="A33" t="inlineStr">
        <is>
          <t>3_2026-01-30</t>
        </is>
      </c>
      <c r="B33" t="n">
        <v>3</v>
      </c>
      <c r="C33" t="inlineStr">
        <is>
          <t>Merchant_003</t>
        </is>
      </c>
      <c r="D33" t="inlineStr">
        <is>
          <t>East</t>
        </is>
      </c>
      <c r="E33" s="5" t="n">
        <v>46052</v>
      </c>
      <c r="F33" t="n">
        <v>49</v>
      </c>
      <c r="G33">
        <f>IF(AND(F33&gt;5000,D33&lt;&gt;"East"),"High-Value Merchant Day","Normal")</f>
        <v/>
      </c>
    </row>
    <row r="34">
      <c r="A34" t="inlineStr">
        <is>
          <t>4_2026-01-02</t>
        </is>
      </c>
      <c r="B34" t="n">
        <v>4</v>
      </c>
      <c r="C34" t="inlineStr">
        <is>
          <t>Merchant_004</t>
        </is>
      </c>
      <c r="D34" t="inlineStr">
        <is>
          <t>East</t>
        </is>
      </c>
      <c r="E34" s="5" t="n">
        <v>46024</v>
      </c>
      <c r="F34" t="n">
        <v>149</v>
      </c>
      <c r="G34">
        <f>IF(AND(F34&gt;5000,D34&lt;&gt;"East"),"High-Value Merchant Day","Normal")</f>
        <v/>
      </c>
    </row>
    <row r="35">
      <c r="A35" t="inlineStr">
        <is>
          <t>4_2026-01-12</t>
        </is>
      </c>
      <c r="B35" t="n">
        <v>4</v>
      </c>
      <c r="C35" t="inlineStr">
        <is>
          <t>Merchant_004</t>
        </is>
      </c>
      <c r="D35" t="inlineStr">
        <is>
          <t>East</t>
        </is>
      </c>
      <c r="E35" s="5" t="n">
        <v>46034</v>
      </c>
      <c r="F35" t="n">
        <v>49</v>
      </c>
      <c r="G35">
        <f>IF(AND(F35&gt;5000,D35&lt;&gt;"East"),"High-Value Merchant Day","Normal")</f>
        <v/>
      </c>
    </row>
    <row r="36">
      <c r="A36" t="inlineStr">
        <is>
          <t>4_2026-01-13</t>
        </is>
      </c>
      <c r="B36" t="n">
        <v>4</v>
      </c>
      <c r="C36" t="inlineStr">
        <is>
          <t>Merchant_004</t>
        </is>
      </c>
      <c r="D36" t="inlineStr">
        <is>
          <t>East</t>
        </is>
      </c>
      <c r="E36" s="5" t="n">
        <v>46035</v>
      </c>
      <c r="F36" t="n">
        <v>948</v>
      </c>
      <c r="G36">
        <f>IF(AND(F36&gt;5000,D36&lt;&gt;"East"),"High-Value Merchant Day","Normal")</f>
        <v/>
      </c>
    </row>
    <row r="37">
      <c r="A37" t="inlineStr">
        <is>
          <t>4_2026-01-16</t>
        </is>
      </c>
      <c r="B37" t="n">
        <v>4</v>
      </c>
      <c r="C37" t="inlineStr">
        <is>
          <t>Merchant_004</t>
        </is>
      </c>
      <c r="D37" t="inlineStr">
        <is>
          <t>East</t>
        </is>
      </c>
      <c r="E37" s="5" t="n">
        <v>46038</v>
      </c>
      <c r="F37" t="n">
        <v>799</v>
      </c>
      <c r="G37">
        <f>IF(AND(F37&gt;5000,D37&lt;&gt;"East"),"High-Value Merchant Day","Normal")</f>
        <v/>
      </c>
    </row>
    <row r="38">
      <c r="A38" t="inlineStr">
        <is>
          <t>4_2026-01-17</t>
        </is>
      </c>
      <c r="B38" t="n">
        <v>4</v>
      </c>
      <c r="C38" t="inlineStr">
        <is>
          <t>Merchant_004</t>
        </is>
      </c>
      <c r="D38" t="inlineStr">
        <is>
          <t>East</t>
        </is>
      </c>
      <c r="E38" s="5" t="n">
        <v>46039</v>
      </c>
      <c r="F38" t="n">
        <v>1499</v>
      </c>
      <c r="G38">
        <f>IF(AND(F38&gt;5000,D38&lt;&gt;"East"),"High-Value Merchant Day","Normal")</f>
        <v/>
      </c>
    </row>
    <row r="39">
      <c r="A39" t="inlineStr">
        <is>
          <t>4_2026-01-24</t>
        </is>
      </c>
      <c r="B39" t="n">
        <v>4</v>
      </c>
      <c r="C39" t="inlineStr">
        <is>
          <t>Merchant_004</t>
        </is>
      </c>
      <c r="D39" t="inlineStr">
        <is>
          <t>East</t>
        </is>
      </c>
      <c r="E39" s="5" t="n">
        <v>46046</v>
      </c>
      <c r="F39" t="n">
        <v>1499</v>
      </c>
      <c r="G39">
        <f>IF(AND(F39&gt;5000,D39&lt;&gt;"East"),"High-Value Merchant Day","Normal")</f>
        <v/>
      </c>
    </row>
    <row r="40">
      <c r="A40" t="inlineStr">
        <is>
          <t>4_2026-01-25</t>
        </is>
      </c>
      <c r="B40" t="n">
        <v>4</v>
      </c>
      <c r="C40" t="inlineStr">
        <is>
          <t>Merchant_004</t>
        </is>
      </c>
      <c r="D40" t="inlineStr">
        <is>
          <t>East</t>
        </is>
      </c>
      <c r="E40" s="5" t="n">
        <v>46047</v>
      </c>
      <c r="F40" t="n">
        <v>1998</v>
      </c>
      <c r="G40">
        <f>IF(AND(F40&gt;5000,D40&lt;&gt;"East"),"High-Value Merchant Day","Normal")</f>
        <v/>
      </c>
    </row>
    <row r="41">
      <c r="A41" t="inlineStr">
        <is>
          <t>5_2026-01-01</t>
        </is>
      </c>
      <c r="B41" t="n">
        <v>5</v>
      </c>
      <c r="C41" t="inlineStr">
        <is>
          <t>Merchant_005</t>
        </is>
      </c>
      <c r="D41" t="inlineStr">
        <is>
          <t>South</t>
        </is>
      </c>
      <c r="E41" s="5" t="n">
        <v>46023</v>
      </c>
      <c r="F41" t="n">
        <v>499</v>
      </c>
      <c r="G41">
        <f>IF(AND(F41&gt;5000,D41&lt;&gt;"East"),"High-Value Merchant Day","Normal")</f>
        <v/>
      </c>
    </row>
    <row r="42">
      <c r="A42" t="inlineStr">
        <is>
          <t>5_2026-01-03</t>
        </is>
      </c>
      <c r="B42" t="n">
        <v>5</v>
      </c>
      <c r="C42" t="inlineStr">
        <is>
          <t>Merchant_005</t>
        </is>
      </c>
      <c r="D42" t="inlineStr">
        <is>
          <t>South</t>
        </is>
      </c>
      <c r="E42" s="5" t="n">
        <v>46025</v>
      </c>
      <c r="F42" t="n">
        <v>499</v>
      </c>
      <c r="G42">
        <f>IF(AND(F42&gt;5000,D42&lt;&gt;"East"),"High-Value Merchant Day","Normal")</f>
        <v/>
      </c>
    </row>
    <row r="43">
      <c r="A43" t="inlineStr">
        <is>
          <t>5_2026-01-09</t>
        </is>
      </c>
      <c r="B43" t="n">
        <v>5</v>
      </c>
      <c r="C43" t="inlineStr">
        <is>
          <t>Merchant_005</t>
        </is>
      </c>
      <c r="D43" t="inlineStr">
        <is>
          <t>South</t>
        </is>
      </c>
      <c r="E43" s="5" t="n">
        <v>46031</v>
      </c>
      <c r="F43" t="n">
        <v>348</v>
      </c>
      <c r="G43">
        <f>IF(AND(F43&gt;5000,D43&lt;&gt;"East"),"High-Value Merchant Day","Normal")</f>
        <v/>
      </c>
    </row>
    <row r="44">
      <c r="A44" t="inlineStr">
        <is>
          <t>5_2026-01-10</t>
        </is>
      </c>
      <c r="B44" t="n">
        <v>5</v>
      </c>
      <c r="C44" t="inlineStr">
        <is>
          <t>Merchant_005</t>
        </is>
      </c>
      <c r="D44" t="inlineStr">
        <is>
          <t>South</t>
        </is>
      </c>
      <c r="E44" s="5" t="n">
        <v>46032</v>
      </c>
      <c r="F44" t="n">
        <v>99</v>
      </c>
      <c r="G44">
        <f>IF(AND(F44&gt;5000,D44&lt;&gt;"East"),"High-Value Merchant Day","Normal")</f>
        <v/>
      </c>
    </row>
    <row r="45">
      <c r="A45" t="inlineStr">
        <is>
          <t>5_2026-01-15</t>
        </is>
      </c>
      <c r="B45" t="n">
        <v>5</v>
      </c>
      <c r="C45" t="inlineStr">
        <is>
          <t>Merchant_005</t>
        </is>
      </c>
      <c r="D45" t="inlineStr">
        <is>
          <t>South</t>
        </is>
      </c>
      <c r="E45" s="5" t="n">
        <v>46037</v>
      </c>
      <c r="F45" t="n">
        <v>548</v>
      </c>
      <c r="G45">
        <f>IF(AND(F45&gt;5000,D45&lt;&gt;"East"),"High-Value Merchant Day","Normal")</f>
        <v/>
      </c>
    </row>
    <row r="46">
      <c r="A46" t="inlineStr">
        <is>
          <t>5_2026-01-17</t>
        </is>
      </c>
      <c r="B46" t="n">
        <v>5</v>
      </c>
      <c r="C46" t="inlineStr">
        <is>
          <t>Merchant_005</t>
        </is>
      </c>
      <c r="D46" t="inlineStr">
        <is>
          <t>South</t>
        </is>
      </c>
      <c r="E46" s="5" t="n">
        <v>46039</v>
      </c>
      <c r="F46" t="n">
        <v>499</v>
      </c>
      <c r="G46">
        <f>IF(AND(F46&gt;5000,D46&lt;&gt;"East"),"High-Value Merchant Day","Normal")</f>
        <v/>
      </c>
    </row>
    <row r="47">
      <c r="A47" t="inlineStr">
        <is>
          <t>5_2026-01-18</t>
        </is>
      </c>
      <c r="B47" t="n">
        <v>5</v>
      </c>
      <c r="C47" t="inlineStr">
        <is>
          <t>Merchant_005</t>
        </is>
      </c>
      <c r="D47" t="inlineStr">
        <is>
          <t>South</t>
        </is>
      </c>
      <c r="E47" s="5" t="n">
        <v>46040</v>
      </c>
      <c r="F47" t="n">
        <v>299</v>
      </c>
      <c r="G47">
        <f>IF(AND(F47&gt;5000,D47&lt;&gt;"East"),"High-Value Merchant Day","Normal")</f>
        <v/>
      </c>
    </row>
    <row r="48">
      <c r="A48" t="inlineStr">
        <is>
          <t>5_2026-01-19</t>
        </is>
      </c>
      <c r="B48" t="n">
        <v>5</v>
      </c>
      <c r="C48" t="inlineStr">
        <is>
          <t>Merchant_005</t>
        </is>
      </c>
      <c r="D48" t="inlineStr">
        <is>
          <t>South</t>
        </is>
      </c>
      <c r="E48" s="5" t="n">
        <v>46041</v>
      </c>
      <c r="F48" t="n">
        <v>49</v>
      </c>
      <c r="G48">
        <f>IF(AND(F48&gt;5000,D48&lt;&gt;"East"),"High-Value Merchant Day","Normal")</f>
        <v/>
      </c>
    </row>
    <row r="49">
      <c r="A49" t="inlineStr">
        <is>
          <t>5_2026-01-30</t>
        </is>
      </c>
      <c r="B49" t="n">
        <v>5</v>
      </c>
      <c r="C49" t="inlineStr">
        <is>
          <t>Merchant_005</t>
        </is>
      </c>
      <c r="D49" t="inlineStr">
        <is>
          <t>South</t>
        </is>
      </c>
      <c r="E49" s="5" t="n">
        <v>46052</v>
      </c>
      <c r="F49" t="n">
        <v>2999</v>
      </c>
      <c r="G49">
        <f>IF(AND(F49&gt;5000,D49&lt;&gt;"East"),"High-Value Merchant Day","Normal")</f>
        <v/>
      </c>
    </row>
    <row r="50">
      <c r="A50" t="inlineStr">
        <is>
          <t>6_2026-01-01</t>
        </is>
      </c>
      <c r="B50" t="n">
        <v>6</v>
      </c>
      <c r="C50" t="inlineStr">
        <is>
          <t>Merchant_006</t>
        </is>
      </c>
      <c r="D50" t="inlineStr">
        <is>
          <t>South</t>
        </is>
      </c>
      <c r="E50" s="5" t="n">
        <v>46023</v>
      </c>
      <c r="F50" t="n">
        <v>49</v>
      </c>
      <c r="G50">
        <f>IF(AND(F50&gt;5000,D50&lt;&gt;"East"),"High-Value Merchant Day","Normal")</f>
        <v/>
      </c>
    </row>
    <row r="51">
      <c r="A51" t="inlineStr">
        <is>
          <t>6_2026-01-03</t>
        </is>
      </c>
      <c r="B51" t="n">
        <v>6</v>
      </c>
      <c r="C51" t="inlineStr">
        <is>
          <t>Merchant_006</t>
        </is>
      </c>
      <c r="D51" t="inlineStr">
        <is>
          <t>South</t>
        </is>
      </c>
      <c r="E51" s="5" t="n">
        <v>46025</v>
      </c>
      <c r="F51" t="n">
        <v>799</v>
      </c>
      <c r="G51">
        <f>IF(AND(F51&gt;5000,D51&lt;&gt;"East"),"High-Value Merchant Day","Normal")</f>
        <v/>
      </c>
    </row>
    <row r="52">
      <c r="A52" t="inlineStr">
        <is>
          <t>6_2026-01-05</t>
        </is>
      </c>
      <c r="B52" t="n">
        <v>6</v>
      </c>
      <c r="C52" t="inlineStr">
        <is>
          <t>Merchant_006</t>
        </is>
      </c>
      <c r="D52" t="inlineStr">
        <is>
          <t>South</t>
        </is>
      </c>
      <c r="E52" s="5" t="n">
        <v>46027</v>
      </c>
      <c r="F52" t="n">
        <v>1499</v>
      </c>
      <c r="G52">
        <f>IF(AND(F52&gt;5000,D52&lt;&gt;"East"),"High-Value Merchant Day","Normal")</f>
        <v/>
      </c>
    </row>
    <row r="53">
      <c r="A53" t="inlineStr">
        <is>
          <t>6_2026-01-08</t>
        </is>
      </c>
      <c r="B53" t="n">
        <v>6</v>
      </c>
      <c r="C53" t="inlineStr">
        <is>
          <t>Merchant_006</t>
        </is>
      </c>
      <c r="D53" t="inlineStr">
        <is>
          <t>South</t>
        </is>
      </c>
      <c r="E53" s="5" t="n">
        <v>46030</v>
      </c>
      <c r="F53" t="n">
        <v>149</v>
      </c>
      <c r="G53">
        <f>IF(AND(F53&gt;5000,D53&lt;&gt;"East"),"High-Value Merchant Day","Normal")</f>
        <v/>
      </c>
    </row>
    <row r="54">
      <c r="A54" t="inlineStr">
        <is>
          <t>6_2026-01-09</t>
        </is>
      </c>
      <c r="B54" t="n">
        <v>6</v>
      </c>
      <c r="C54" t="inlineStr">
        <is>
          <t>Merchant_006</t>
        </is>
      </c>
      <c r="D54" t="inlineStr">
        <is>
          <t>South</t>
        </is>
      </c>
      <c r="E54" s="5" t="n">
        <v>46031</v>
      </c>
      <c r="F54" t="n">
        <v>99</v>
      </c>
      <c r="G54">
        <f>IF(AND(F54&gt;5000,D54&lt;&gt;"East"),"High-Value Merchant Day","Normal")</f>
        <v/>
      </c>
    </row>
    <row r="55">
      <c r="A55" t="inlineStr">
        <is>
          <t>6_2026-01-11</t>
        </is>
      </c>
      <c r="B55" t="n">
        <v>6</v>
      </c>
      <c r="C55" t="inlineStr">
        <is>
          <t>Merchant_006</t>
        </is>
      </c>
      <c r="D55" t="inlineStr">
        <is>
          <t>South</t>
        </is>
      </c>
      <c r="E55" s="5" t="n">
        <v>46033</v>
      </c>
      <c r="F55" t="n">
        <v>1499</v>
      </c>
      <c r="G55">
        <f>IF(AND(F55&gt;5000,D55&lt;&gt;"East"),"High-Value Merchant Day","Normal")</f>
        <v/>
      </c>
    </row>
    <row r="56">
      <c r="A56" t="inlineStr">
        <is>
          <t>6_2026-01-13</t>
        </is>
      </c>
      <c r="B56" t="n">
        <v>6</v>
      </c>
      <c r="C56" t="inlineStr">
        <is>
          <t>Merchant_006</t>
        </is>
      </c>
      <c r="D56" t="inlineStr">
        <is>
          <t>South</t>
        </is>
      </c>
      <c r="E56" s="5" t="n">
        <v>46035</v>
      </c>
      <c r="F56" t="n">
        <v>1499</v>
      </c>
      <c r="G56">
        <f>IF(AND(F56&gt;5000,D56&lt;&gt;"East"),"High-Value Merchant Day","Normal")</f>
        <v/>
      </c>
    </row>
    <row r="57">
      <c r="A57" t="inlineStr">
        <is>
          <t>6_2026-01-15</t>
        </is>
      </c>
      <c r="B57" t="n">
        <v>6</v>
      </c>
      <c r="C57" t="inlineStr">
        <is>
          <t>Merchant_006</t>
        </is>
      </c>
      <c r="D57" t="inlineStr">
        <is>
          <t>South</t>
        </is>
      </c>
      <c r="E57" s="5" t="n">
        <v>46037</v>
      </c>
      <c r="F57" t="n">
        <v>49</v>
      </c>
      <c r="G57">
        <f>IF(AND(F57&gt;5000,D57&lt;&gt;"East"),"High-Value Merchant Day","Normal")</f>
        <v/>
      </c>
    </row>
    <row r="58">
      <c r="A58" t="inlineStr">
        <is>
          <t>6_2026-01-17</t>
        </is>
      </c>
      <c r="B58" t="n">
        <v>6</v>
      </c>
      <c r="C58" t="inlineStr">
        <is>
          <t>Merchant_006</t>
        </is>
      </c>
      <c r="D58" t="inlineStr">
        <is>
          <t>South</t>
        </is>
      </c>
      <c r="E58" s="5" t="n">
        <v>46039</v>
      </c>
      <c r="F58" t="n">
        <v>799</v>
      </c>
      <c r="G58">
        <f>IF(AND(F58&gt;5000,D58&lt;&gt;"East"),"High-Value Merchant Day","Normal")</f>
        <v/>
      </c>
    </row>
    <row r="59">
      <c r="A59" t="inlineStr">
        <is>
          <t>6_2026-01-19</t>
        </is>
      </c>
      <c r="B59" t="n">
        <v>6</v>
      </c>
      <c r="C59" t="inlineStr">
        <is>
          <t>Merchant_006</t>
        </is>
      </c>
      <c r="D59" t="inlineStr">
        <is>
          <t>South</t>
        </is>
      </c>
      <c r="E59" s="5" t="n">
        <v>46041</v>
      </c>
      <c r="F59" t="n">
        <v>49</v>
      </c>
      <c r="G59">
        <f>IF(AND(F59&gt;5000,D59&lt;&gt;"East"),"High-Value Merchant Day","Normal")</f>
        <v/>
      </c>
    </row>
    <row r="60">
      <c r="A60" t="inlineStr">
        <is>
          <t>6_2026-01-21</t>
        </is>
      </c>
      <c r="B60" t="n">
        <v>6</v>
      </c>
      <c r="C60" t="inlineStr">
        <is>
          <t>Merchant_006</t>
        </is>
      </c>
      <c r="D60" t="inlineStr">
        <is>
          <t>South</t>
        </is>
      </c>
      <c r="E60" s="5" t="n">
        <v>46043</v>
      </c>
      <c r="F60" t="n">
        <v>49</v>
      </c>
      <c r="G60">
        <f>IF(AND(F60&gt;5000,D60&lt;&gt;"East"),"High-Value Merchant Day","Normal")</f>
        <v/>
      </c>
    </row>
    <row r="61">
      <c r="A61" t="inlineStr">
        <is>
          <t>6_2026-01-26</t>
        </is>
      </c>
      <c r="B61" t="n">
        <v>6</v>
      </c>
      <c r="C61" t="inlineStr">
        <is>
          <t>Merchant_006</t>
        </is>
      </c>
      <c r="D61" t="inlineStr">
        <is>
          <t>South</t>
        </is>
      </c>
      <c r="E61" s="5" t="n">
        <v>46048</v>
      </c>
      <c r="F61" t="n">
        <v>897</v>
      </c>
      <c r="G61">
        <f>IF(AND(F61&gt;5000,D61&lt;&gt;"East"),"High-Value Merchant Day","Normal")</f>
        <v/>
      </c>
    </row>
    <row r="62">
      <c r="A62" t="inlineStr">
        <is>
          <t>7_2026-01-02</t>
        </is>
      </c>
      <c r="B62" t="n">
        <v>7</v>
      </c>
      <c r="C62" t="inlineStr">
        <is>
          <t>Merchant_007</t>
        </is>
      </c>
      <c r="D62" t="inlineStr">
        <is>
          <t>East</t>
        </is>
      </c>
      <c r="E62" s="5" t="n">
        <v>46024</v>
      </c>
      <c r="F62" t="n">
        <v>3797</v>
      </c>
      <c r="G62">
        <f>IF(AND(F62&gt;5000,D62&lt;&gt;"East"),"High-Value Merchant Day","Normal")</f>
        <v/>
      </c>
    </row>
    <row r="63">
      <c r="A63" t="inlineStr">
        <is>
          <t>7_2026-01-03</t>
        </is>
      </c>
      <c r="B63" t="n">
        <v>7</v>
      </c>
      <c r="C63" t="inlineStr">
        <is>
          <t>Merchant_007</t>
        </is>
      </c>
      <c r="D63" t="inlineStr">
        <is>
          <t>East</t>
        </is>
      </c>
      <c r="E63" s="5" t="n">
        <v>46025</v>
      </c>
      <c r="F63" t="n">
        <v>149</v>
      </c>
      <c r="G63">
        <f>IF(AND(F63&gt;5000,D63&lt;&gt;"East"),"High-Value Merchant Day","Normal")</f>
        <v/>
      </c>
    </row>
    <row r="64">
      <c r="A64" t="inlineStr">
        <is>
          <t>7_2026-01-05</t>
        </is>
      </c>
      <c r="B64" t="n">
        <v>7</v>
      </c>
      <c r="C64" t="inlineStr">
        <is>
          <t>Merchant_007</t>
        </is>
      </c>
      <c r="D64" t="inlineStr">
        <is>
          <t>East</t>
        </is>
      </c>
      <c r="E64" s="5" t="n">
        <v>46027</v>
      </c>
      <c r="F64" t="n">
        <v>4498</v>
      </c>
      <c r="G64">
        <f>IF(AND(F64&gt;5000,D64&lt;&gt;"East"),"High-Value Merchant Day","Normal")</f>
        <v/>
      </c>
    </row>
    <row r="65">
      <c r="A65" t="inlineStr">
        <is>
          <t>7_2026-01-08</t>
        </is>
      </c>
      <c r="B65" t="n">
        <v>7</v>
      </c>
      <c r="C65" t="inlineStr">
        <is>
          <t>Merchant_007</t>
        </is>
      </c>
      <c r="D65" t="inlineStr">
        <is>
          <t>East</t>
        </is>
      </c>
      <c r="E65" s="5" t="n">
        <v>46030</v>
      </c>
      <c r="F65" t="n">
        <v>299</v>
      </c>
      <c r="G65">
        <f>IF(AND(F65&gt;5000,D65&lt;&gt;"East"),"High-Value Merchant Day","Normal")</f>
        <v/>
      </c>
    </row>
    <row r="66">
      <c r="A66" t="inlineStr">
        <is>
          <t>7_2026-01-10</t>
        </is>
      </c>
      <c r="B66" t="n">
        <v>7</v>
      </c>
      <c r="C66" t="inlineStr">
        <is>
          <t>Merchant_007</t>
        </is>
      </c>
      <c r="D66" t="inlineStr">
        <is>
          <t>East</t>
        </is>
      </c>
      <c r="E66" s="5" t="n">
        <v>46032</v>
      </c>
      <c r="F66" t="n">
        <v>499</v>
      </c>
      <c r="G66">
        <f>IF(AND(F66&gt;5000,D66&lt;&gt;"East"),"High-Value Merchant Day","Normal")</f>
        <v/>
      </c>
    </row>
    <row r="67">
      <c r="A67" t="inlineStr">
        <is>
          <t>7_2026-01-15</t>
        </is>
      </c>
      <c r="B67" t="n">
        <v>7</v>
      </c>
      <c r="C67" t="inlineStr">
        <is>
          <t>Merchant_007</t>
        </is>
      </c>
      <c r="D67" t="inlineStr">
        <is>
          <t>East</t>
        </is>
      </c>
      <c r="E67" s="5" t="n">
        <v>46037</v>
      </c>
      <c r="F67" t="n">
        <v>1648</v>
      </c>
      <c r="G67">
        <f>IF(AND(F67&gt;5000,D67&lt;&gt;"East"),"High-Value Merchant Day","Normal")</f>
        <v/>
      </c>
    </row>
    <row r="68">
      <c r="A68" t="inlineStr">
        <is>
          <t>7_2026-01-17</t>
        </is>
      </c>
      <c r="B68" t="n">
        <v>7</v>
      </c>
      <c r="C68" t="inlineStr">
        <is>
          <t>Merchant_007</t>
        </is>
      </c>
      <c r="D68" t="inlineStr">
        <is>
          <t>East</t>
        </is>
      </c>
      <c r="E68" s="5" t="n">
        <v>46039</v>
      </c>
      <c r="F68" t="n">
        <v>149</v>
      </c>
      <c r="G68">
        <f>IF(AND(F68&gt;5000,D68&lt;&gt;"East"),"High-Value Merchant Day","Normal")</f>
        <v/>
      </c>
    </row>
    <row r="69">
      <c r="A69" t="inlineStr">
        <is>
          <t>7_2026-01-21</t>
        </is>
      </c>
      <c r="B69" t="n">
        <v>7</v>
      </c>
      <c r="C69" t="inlineStr">
        <is>
          <t>Merchant_007</t>
        </is>
      </c>
      <c r="D69" t="inlineStr">
        <is>
          <t>East</t>
        </is>
      </c>
      <c r="E69" s="5" t="n">
        <v>46043</v>
      </c>
      <c r="F69" t="n">
        <v>1499</v>
      </c>
      <c r="G69">
        <f>IF(AND(F69&gt;5000,D69&lt;&gt;"East"),"High-Value Merchant Day","Normal")</f>
        <v/>
      </c>
    </row>
    <row r="70">
      <c r="A70" t="inlineStr">
        <is>
          <t>7_2026-01-24</t>
        </is>
      </c>
      <c r="B70" t="n">
        <v>7</v>
      </c>
      <c r="C70" t="inlineStr">
        <is>
          <t>Merchant_007</t>
        </is>
      </c>
      <c r="D70" t="inlineStr">
        <is>
          <t>East</t>
        </is>
      </c>
      <c r="E70" s="5" t="n">
        <v>46046</v>
      </c>
      <c r="F70" t="n">
        <v>1298</v>
      </c>
      <c r="G70">
        <f>IF(AND(F70&gt;5000,D70&lt;&gt;"East"),"High-Value Merchant Day","Normal")</f>
        <v/>
      </c>
    </row>
    <row r="71">
      <c r="A71" t="inlineStr">
        <is>
          <t>7_2026-01-25</t>
        </is>
      </c>
      <c r="B71" t="n">
        <v>7</v>
      </c>
      <c r="C71" t="inlineStr">
        <is>
          <t>Merchant_007</t>
        </is>
      </c>
      <c r="D71" t="inlineStr">
        <is>
          <t>East</t>
        </is>
      </c>
      <c r="E71" s="5" t="n">
        <v>46047</v>
      </c>
      <c r="F71" t="n">
        <v>99</v>
      </c>
      <c r="G71">
        <f>IF(AND(F71&gt;5000,D71&lt;&gt;"East"),"High-Value Merchant Day","Normal")</f>
        <v/>
      </c>
    </row>
    <row r="72">
      <c r="A72" t="inlineStr">
        <is>
          <t>7_2026-01-30</t>
        </is>
      </c>
      <c r="B72" t="n">
        <v>7</v>
      </c>
      <c r="C72" t="inlineStr">
        <is>
          <t>Merchant_007</t>
        </is>
      </c>
      <c r="D72" t="inlineStr">
        <is>
          <t>East</t>
        </is>
      </c>
      <c r="E72" s="5" t="n">
        <v>46052</v>
      </c>
      <c r="F72" t="n">
        <v>1999</v>
      </c>
      <c r="G72">
        <f>IF(AND(F72&gt;5000,D72&lt;&gt;"East"),"High-Value Merchant Day","Normal")</f>
        <v/>
      </c>
    </row>
    <row r="73">
      <c r="A73" t="inlineStr">
        <is>
          <t>8_2026-01-02</t>
        </is>
      </c>
      <c r="B73" t="n">
        <v>8</v>
      </c>
      <c r="C73" t="inlineStr">
        <is>
          <t>Merchant_008</t>
        </is>
      </c>
      <c r="D73" t="inlineStr">
        <is>
          <t>North</t>
        </is>
      </c>
      <c r="E73" s="5" t="n">
        <v>46024</v>
      </c>
      <c r="F73" t="n">
        <v>299</v>
      </c>
      <c r="G73">
        <f>IF(AND(F73&gt;5000,D73&lt;&gt;"East"),"High-Value Merchant Day","Normal")</f>
        <v/>
      </c>
    </row>
    <row r="74">
      <c r="A74" t="inlineStr">
        <is>
          <t>8_2026-01-03</t>
        </is>
      </c>
      <c r="B74" t="n">
        <v>8</v>
      </c>
      <c r="C74" t="inlineStr">
        <is>
          <t>Merchant_008</t>
        </is>
      </c>
      <c r="D74" t="inlineStr">
        <is>
          <t>North</t>
        </is>
      </c>
      <c r="E74" s="5" t="n">
        <v>46025</v>
      </c>
      <c r="F74" t="n">
        <v>299</v>
      </c>
      <c r="G74">
        <f>IF(AND(F74&gt;5000,D74&lt;&gt;"East"),"High-Value Merchant Day","Normal")</f>
        <v/>
      </c>
    </row>
    <row r="75">
      <c r="A75" t="inlineStr">
        <is>
          <t>8_2026-01-06</t>
        </is>
      </c>
      <c r="B75" t="n">
        <v>8</v>
      </c>
      <c r="C75" t="inlineStr">
        <is>
          <t>Merchant_008</t>
        </is>
      </c>
      <c r="D75" t="inlineStr">
        <is>
          <t>North</t>
        </is>
      </c>
      <c r="E75" s="5" t="n">
        <v>46028</v>
      </c>
      <c r="F75" t="n">
        <v>49</v>
      </c>
      <c r="G75">
        <f>IF(AND(F75&gt;5000,D75&lt;&gt;"East"),"High-Value Merchant Day","Normal")</f>
        <v/>
      </c>
    </row>
    <row r="76">
      <c r="A76" t="inlineStr">
        <is>
          <t>8_2026-01-08</t>
        </is>
      </c>
      <c r="B76" t="n">
        <v>8</v>
      </c>
      <c r="C76" t="inlineStr">
        <is>
          <t>Merchant_008</t>
        </is>
      </c>
      <c r="D76" t="inlineStr">
        <is>
          <t>North</t>
        </is>
      </c>
      <c r="E76" s="5" t="n">
        <v>46030</v>
      </c>
      <c r="F76" t="n">
        <v>99</v>
      </c>
      <c r="G76">
        <f>IF(AND(F76&gt;5000,D76&lt;&gt;"East"),"High-Value Merchant Day","Normal")</f>
        <v/>
      </c>
    </row>
    <row r="77">
      <c r="A77" t="inlineStr">
        <is>
          <t>8_2026-01-11</t>
        </is>
      </c>
      <c r="B77" t="n">
        <v>8</v>
      </c>
      <c r="C77" t="inlineStr">
        <is>
          <t>Merchant_008</t>
        </is>
      </c>
      <c r="D77" t="inlineStr">
        <is>
          <t>North</t>
        </is>
      </c>
      <c r="E77" s="5" t="n">
        <v>46033</v>
      </c>
      <c r="F77" t="n">
        <v>149</v>
      </c>
      <c r="G77">
        <f>IF(AND(F77&gt;5000,D77&lt;&gt;"East"),"High-Value Merchant Day","Normal")</f>
        <v/>
      </c>
    </row>
    <row r="78">
      <c r="A78" t="inlineStr">
        <is>
          <t>8_2026-01-12</t>
        </is>
      </c>
      <c r="B78" t="n">
        <v>8</v>
      </c>
      <c r="C78" t="inlineStr">
        <is>
          <t>Merchant_008</t>
        </is>
      </c>
      <c r="D78" t="inlineStr">
        <is>
          <t>North</t>
        </is>
      </c>
      <c r="E78" s="5" t="n">
        <v>46034</v>
      </c>
      <c r="F78" t="n">
        <v>398</v>
      </c>
      <c r="G78">
        <f>IF(AND(F78&gt;5000,D78&lt;&gt;"East"),"High-Value Merchant Day","Normal")</f>
        <v/>
      </c>
    </row>
    <row r="79">
      <c r="A79" t="inlineStr">
        <is>
          <t>8_2026-01-16</t>
        </is>
      </c>
      <c r="B79" t="n">
        <v>8</v>
      </c>
      <c r="C79" t="inlineStr">
        <is>
          <t>Merchant_008</t>
        </is>
      </c>
      <c r="D79" t="inlineStr">
        <is>
          <t>North</t>
        </is>
      </c>
      <c r="E79" s="5" t="n">
        <v>46038</v>
      </c>
      <c r="F79" t="n">
        <v>2999</v>
      </c>
      <c r="G79">
        <f>IF(AND(F79&gt;5000,D79&lt;&gt;"East"),"High-Value Merchant Day","Normal")</f>
        <v/>
      </c>
    </row>
    <row r="80">
      <c r="A80" t="inlineStr">
        <is>
          <t>8_2026-01-17</t>
        </is>
      </c>
      <c r="B80" t="n">
        <v>8</v>
      </c>
      <c r="C80" t="inlineStr">
        <is>
          <t>Merchant_008</t>
        </is>
      </c>
      <c r="D80" t="inlineStr">
        <is>
          <t>North</t>
        </is>
      </c>
      <c r="E80" s="5" t="n">
        <v>46039</v>
      </c>
      <c r="F80" t="n">
        <v>348</v>
      </c>
      <c r="G80">
        <f>IF(AND(F80&gt;5000,D80&lt;&gt;"East"),"High-Value Merchant Day","Normal")</f>
        <v/>
      </c>
    </row>
    <row r="81">
      <c r="A81" t="inlineStr">
        <is>
          <t>8_2026-01-18</t>
        </is>
      </c>
      <c r="B81" t="n">
        <v>8</v>
      </c>
      <c r="C81" t="inlineStr">
        <is>
          <t>Merchant_008</t>
        </is>
      </c>
      <c r="D81" t="inlineStr">
        <is>
          <t>North</t>
        </is>
      </c>
      <c r="E81" s="5" t="n">
        <v>46040</v>
      </c>
      <c r="F81" t="n">
        <v>499</v>
      </c>
      <c r="G81">
        <f>IF(AND(F81&gt;5000,D81&lt;&gt;"East"),"High-Value Merchant Day","Normal")</f>
        <v/>
      </c>
    </row>
    <row r="82">
      <c r="A82" t="inlineStr">
        <is>
          <t>8_2026-01-19</t>
        </is>
      </c>
      <c r="B82" t="n">
        <v>8</v>
      </c>
      <c r="C82" t="inlineStr">
        <is>
          <t>Merchant_008</t>
        </is>
      </c>
      <c r="D82" t="inlineStr">
        <is>
          <t>North</t>
        </is>
      </c>
      <c r="E82" s="5" t="n">
        <v>46041</v>
      </c>
      <c r="F82" t="n">
        <v>99</v>
      </c>
      <c r="G82">
        <f>IF(AND(F82&gt;5000,D82&lt;&gt;"East"),"High-Value Merchant Day","Normal")</f>
        <v/>
      </c>
    </row>
    <row r="83">
      <c r="A83" t="inlineStr">
        <is>
          <t>8_2026-01-26</t>
        </is>
      </c>
      <c r="B83" t="n">
        <v>8</v>
      </c>
      <c r="C83" t="inlineStr">
        <is>
          <t>Merchant_008</t>
        </is>
      </c>
      <c r="D83" t="inlineStr">
        <is>
          <t>North</t>
        </is>
      </c>
      <c r="E83" s="5" t="n">
        <v>46048</v>
      </c>
      <c r="F83" t="n">
        <v>598</v>
      </c>
      <c r="G83">
        <f>IF(AND(F83&gt;5000,D83&lt;&gt;"East"),"High-Value Merchant Day","Normal")</f>
        <v/>
      </c>
    </row>
    <row r="84">
      <c r="A84" t="inlineStr">
        <is>
          <t>8_2026-01-27</t>
        </is>
      </c>
      <c r="B84" t="n">
        <v>8</v>
      </c>
      <c r="C84" t="inlineStr">
        <is>
          <t>Merchant_008</t>
        </is>
      </c>
      <c r="D84" t="inlineStr">
        <is>
          <t>North</t>
        </is>
      </c>
      <c r="E84" s="5" t="n">
        <v>46049</v>
      </c>
      <c r="F84" t="n">
        <v>1499</v>
      </c>
      <c r="G84">
        <f>IF(AND(F84&gt;5000,D84&lt;&gt;"East"),"High-Value Merchant Day","Normal")</f>
        <v/>
      </c>
    </row>
    <row r="85">
      <c r="A85" t="inlineStr">
        <is>
          <t>8_2026-01-30</t>
        </is>
      </c>
      <c r="B85" t="n">
        <v>8</v>
      </c>
      <c r="C85" t="inlineStr">
        <is>
          <t>Merchant_008</t>
        </is>
      </c>
      <c r="D85" t="inlineStr">
        <is>
          <t>North</t>
        </is>
      </c>
      <c r="E85" s="5" t="n">
        <v>46052</v>
      </c>
      <c r="F85" t="n">
        <v>99</v>
      </c>
      <c r="G85">
        <f>IF(AND(F85&gt;5000,D85&lt;&gt;"East"),"High-Value Merchant Day","Normal")</f>
        <v/>
      </c>
    </row>
    <row r="86">
      <c r="A86" t="inlineStr">
        <is>
          <t>9_2026-01-01</t>
        </is>
      </c>
      <c r="B86" t="n">
        <v>9</v>
      </c>
      <c r="C86" t="inlineStr">
        <is>
          <t>Merchant_009</t>
        </is>
      </c>
      <c r="D86" t="inlineStr">
        <is>
          <t>North</t>
        </is>
      </c>
      <c r="E86" s="5" t="n">
        <v>46023</v>
      </c>
      <c r="F86" t="n">
        <v>499</v>
      </c>
      <c r="G86">
        <f>IF(AND(F86&gt;5000,D86&lt;&gt;"East"),"High-Value Merchant Day","Normal")</f>
        <v/>
      </c>
    </row>
    <row r="87">
      <c r="A87" t="inlineStr">
        <is>
          <t>9_2026-01-04</t>
        </is>
      </c>
      <c r="B87" t="n">
        <v>9</v>
      </c>
      <c r="C87" t="inlineStr">
        <is>
          <t>Merchant_009</t>
        </is>
      </c>
      <c r="D87" t="inlineStr">
        <is>
          <t>North</t>
        </is>
      </c>
      <c r="E87" s="5" t="n">
        <v>46026</v>
      </c>
      <c r="F87" t="n">
        <v>499</v>
      </c>
      <c r="G87">
        <f>IF(AND(F87&gt;5000,D87&lt;&gt;"East"),"High-Value Merchant Day","Normal")</f>
        <v/>
      </c>
    </row>
    <row r="88">
      <c r="A88" t="inlineStr">
        <is>
          <t>9_2026-01-05</t>
        </is>
      </c>
      <c r="B88" t="n">
        <v>9</v>
      </c>
      <c r="C88" t="inlineStr">
        <is>
          <t>Merchant_009</t>
        </is>
      </c>
      <c r="D88" t="inlineStr">
        <is>
          <t>North</t>
        </is>
      </c>
      <c r="E88" s="5" t="n">
        <v>46027</v>
      </c>
      <c r="F88" t="n">
        <v>149</v>
      </c>
      <c r="G88">
        <f>IF(AND(F88&gt;5000,D88&lt;&gt;"East"),"High-Value Merchant Day","Normal")</f>
        <v/>
      </c>
    </row>
    <row r="89">
      <c r="A89" t="inlineStr">
        <is>
          <t>9_2026-01-06</t>
        </is>
      </c>
      <c r="B89" t="n">
        <v>9</v>
      </c>
      <c r="C89" t="inlineStr">
        <is>
          <t>Merchant_009</t>
        </is>
      </c>
      <c r="D89" t="inlineStr">
        <is>
          <t>North</t>
        </is>
      </c>
      <c r="E89" s="5" t="n">
        <v>46028</v>
      </c>
      <c r="F89" t="n">
        <v>149</v>
      </c>
      <c r="G89">
        <f>IF(AND(F89&gt;5000,D89&lt;&gt;"East"),"High-Value Merchant Day","Normal")</f>
        <v/>
      </c>
    </row>
    <row r="90">
      <c r="A90" t="inlineStr">
        <is>
          <t>9_2026-01-09</t>
        </is>
      </c>
      <c r="B90" t="n">
        <v>9</v>
      </c>
      <c r="C90" t="inlineStr">
        <is>
          <t>Merchant_009</t>
        </is>
      </c>
      <c r="D90" t="inlineStr">
        <is>
          <t>North</t>
        </is>
      </c>
      <c r="E90" s="5" t="n">
        <v>46031</v>
      </c>
      <c r="F90" t="n">
        <v>99</v>
      </c>
      <c r="G90">
        <f>IF(AND(F90&gt;5000,D90&lt;&gt;"East"),"High-Value Merchant Day","Normal")</f>
        <v/>
      </c>
    </row>
    <row r="91">
      <c r="A91" t="inlineStr">
        <is>
          <t>9_2026-01-10</t>
        </is>
      </c>
      <c r="B91" t="n">
        <v>9</v>
      </c>
      <c r="C91" t="inlineStr">
        <is>
          <t>Merchant_009</t>
        </is>
      </c>
      <c r="D91" t="inlineStr">
        <is>
          <t>North</t>
        </is>
      </c>
      <c r="E91" s="5" t="n">
        <v>46032</v>
      </c>
      <c r="F91" t="n">
        <v>49</v>
      </c>
      <c r="G91">
        <f>IF(AND(F91&gt;5000,D91&lt;&gt;"East"),"High-Value Merchant Day","Normal")</f>
        <v/>
      </c>
    </row>
    <row r="92">
      <c r="A92" t="inlineStr">
        <is>
          <t>9_2026-01-12</t>
        </is>
      </c>
      <c r="B92" t="n">
        <v>9</v>
      </c>
      <c r="C92" t="inlineStr">
        <is>
          <t>Merchant_009</t>
        </is>
      </c>
      <c r="D92" t="inlineStr">
        <is>
          <t>North</t>
        </is>
      </c>
      <c r="E92" s="5" t="n">
        <v>46034</v>
      </c>
      <c r="F92" t="n">
        <v>299</v>
      </c>
      <c r="G92">
        <f>IF(AND(F92&gt;5000,D92&lt;&gt;"East"),"High-Value Merchant Day","Normal")</f>
        <v/>
      </c>
    </row>
    <row r="93">
      <c r="A93" t="inlineStr">
        <is>
          <t>9_2026-01-15</t>
        </is>
      </c>
      <c r="B93" t="n">
        <v>9</v>
      </c>
      <c r="C93" t="inlineStr">
        <is>
          <t>Merchant_009</t>
        </is>
      </c>
      <c r="D93" t="inlineStr">
        <is>
          <t>North</t>
        </is>
      </c>
      <c r="E93" s="5" t="n">
        <v>46037</v>
      </c>
      <c r="F93" t="n">
        <v>148</v>
      </c>
      <c r="G93">
        <f>IF(AND(F93&gt;5000,D93&lt;&gt;"East"),"High-Value Merchant Day","Normal")</f>
        <v/>
      </c>
    </row>
    <row r="94">
      <c r="A94" t="inlineStr">
        <is>
          <t>9_2026-01-17</t>
        </is>
      </c>
      <c r="B94" t="n">
        <v>9</v>
      </c>
      <c r="C94" t="inlineStr">
        <is>
          <t>Merchant_009</t>
        </is>
      </c>
      <c r="D94" t="inlineStr">
        <is>
          <t>North</t>
        </is>
      </c>
      <c r="E94" s="5" t="n">
        <v>46039</v>
      </c>
      <c r="F94" t="n">
        <v>248</v>
      </c>
      <c r="G94">
        <f>IF(AND(F94&gt;5000,D94&lt;&gt;"East"),"High-Value Merchant Day","Normal")</f>
        <v/>
      </c>
    </row>
    <row r="95">
      <c r="A95" t="inlineStr">
        <is>
          <t>9_2026-01-18</t>
        </is>
      </c>
      <c r="B95" t="n">
        <v>9</v>
      </c>
      <c r="C95" t="inlineStr">
        <is>
          <t>Merchant_009</t>
        </is>
      </c>
      <c r="D95" t="inlineStr">
        <is>
          <t>North</t>
        </is>
      </c>
      <c r="E95" s="5" t="n">
        <v>46040</v>
      </c>
      <c r="F95" t="n">
        <v>299</v>
      </c>
      <c r="G95">
        <f>IF(AND(F95&gt;5000,D95&lt;&gt;"East"),"High-Value Merchant Day","Normal")</f>
        <v/>
      </c>
    </row>
    <row r="96">
      <c r="A96" t="inlineStr">
        <is>
          <t>9_2026-01-19</t>
        </is>
      </c>
      <c r="B96" t="n">
        <v>9</v>
      </c>
      <c r="C96" t="inlineStr">
        <is>
          <t>Merchant_009</t>
        </is>
      </c>
      <c r="D96" t="inlineStr">
        <is>
          <t>North</t>
        </is>
      </c>
      <c r="E96" s="5" t="n">
        <v>46041</v>
      </c>
      <c r="F96" t="n">
        <v>299</v>
      </c>
      <c r="G96">
        <f>IF(AND(F96&gt;5000,D96&lt;&gt;"East"),"High-Value Merchant Day","Normal")</f>
        <v/>
      </c>
    </row>
    <row r="97">
      <c r="A97" t="inlineStr">
        <is>
          <t>9_2026-01-22</t>
        </is>
      </c>
      <c r="B97" t="n">
        <v>9</v>
      </c>
      <c r="C97" t="inlineStr">
        <is>
          <t>Merchant_009</t>
        </is>
      </c>
      <c r="D97" t="inlineStr">
        <is>
          <t>North</t>
        </is>
      </c>
      <c r="E97" s="5" t="n">
        <v>46044</v>
      </c>
      <c r="F97" t="n">
        <v>1298</v>
      </c>
      <c r="G97">
        <f>IF(AND(F97&gt;5000,D97&lt;&gt;"East"),"High-Value Merchant Day","Normal")</f>
        <v/>
      </c>
    </row>
    <row r="98">
      <c r="A98" t="inlineStr">
        <is>
          <t>9_2026-01-23</t>
        </is>
      </c>
      <c r="B98" t="n">
        <v>9</v>
      </c>
      <c r="C98" t="inlineStr">
        <is>
          <t>Merchant_009</t>
        </is>
      </c>
      <c r="D98" t="inlineStr">
        <is>
          <t>North</t>
        </is>
      </c>
      <c r="E98" s="5" t="n">
        <v>46045</v>
      </c>
      <c r="F98" t="n">
        <v>898</v>
      </c>
      <c r="G98">
        <f>IF(AND(F98&gt;5000,D98&lt;&gt;"East"),"High-Value Merchant Day","Normal")</f>
        <v/>
      </c>
    </row>
    <row r="99">
      <c r="A99" t="inlineStr">
        <is>
          <t>9_2026-01-29</t>
        </is>
      </c>
      <c r="B99" t="n">
        <v>9</v>
      </c>
      <c r="C99" t="inlineStr">
        <is>
          <t>Merchant_009</t>
        </is>
      </c>
      <c r="D99" t="inlineStr">
        <is>
          <t>North</t>
        </is>
      </c>
      <c r="E99" s="5" t="n">
        <v>46051</v>
      </c>
      <c r="F99" t="n">
        <v>49</v>
      </c>
      <c r="G99">
        <f>IF(AND(F99&gt;5000,D99&lt;&gt;"East"),"High-Value Merchant Day","Normal")</f>
        <v/>
      </c>
    </row>
    <row r="100">
      <c r="A100" t="inlineStr">
        <is>
          <t>10_2026-01-05</t>
        </is>
      </c>
      <c r="B100" t="n">
        <v>10</v>
      </c>
      <c r="C100" t="inlineStr">
        <is>
          <t>Merchant_010</t>
        </is>
      </c>
      <c r="D100" t="inlineStr">
        <is>
          <t>West</t>
        </is>
      </c>
      <c r="E100" s="5" t="n">
        <v>46027</v>
      </c>
      <c r="F100" t="n">
        <v>49</v>
      </c>
      <c r="G100">
        <f>IF(AND(F100&gt;5000,D100&lt;&gt;"East"),"High-Value Merchant Day","Normal")</f>
        <v/>
      </c>
    </row>
    <row r="101">
      <c r="A101" t="inlineStr">
        <is>
          <t>10_2026-01-08</t>
        </is>
      </c>
      <c r="B101" t="n">
        <v>10</v>
      </c>
      <c r="C101" t="inlineStr">
        <is>
          <t>Merchant_010</t>
        </is>
      </c>
      <c r="D101" t="inlineStr">
        <is>
          <t>West</t>
        </is>
      </c>
      <c r="E101" s="5" t="n">
        <v>46030</v>
      </c>
      <c r="F101" t="n">
        <v>799</v>
      </c>
      <c r="G101">
        <f>IF(AND(F101&gt;5000,D101&lt;&gt;"East"),"High-Value Merchant Day","Normal")</f>
        <v/>
      </c>
    </row>
    <row r="102">
      <c r="A102" t="inlineStr">
        <is>
          <t>10_2026-01-11</t>
        </is>
      </c>
      <c r="B102" t="n">
        <v>10</v>
      </c>
      <c r="C102" t="inlineStr">
        <is>
          <t>Merchant_010</t>
        </is>
      </c>
      <c r="D102" t="inlineStr">
        <is>
          <t>West</t>
        </is>
      </c>
      <c r="E102" s="5" t="n">
        <v>46033</v>
      </c>
      <c r="F102" t="n">
        <v>98</v>
      </c>
      <c r="G102">
        <f>IF(AND(F102&gt;5000,D102&lt;&gt;"East"),"High-Value Merchant Day","Normal")</f>
        <v/>
      </c>
    </row>
    <row r="103">
      <c r="A103" t="inlineStr">
        <is>
          <t>10_2026-01-12</t>
        </is>
      </c>
      <c r="B103" t="n">
        <v>10</v>
      </c>
      <c r="C103" t="inlineStr">
        <is>
          <t>Merchant_010</t>
        </is>
      </c>
      <c r="D103" t="inlineStr">
        <is>
          <t>West</t>
        </is>
      </c>
      <c r="E103" s="5" t="n">
        <v>46034</v>
      </c>
      <c r="F103" t="n">
        <v>399</v>
      </c>
      <c r="G103">
        <f>IF(AND(F103&gt;5000,D103&lt;&gt;"East"),"High-Value Merchant Day","Normal")</f>
        <v/>
      </c>
    </row>
    <row r="104">
      <c r="A104" t="inlineStr">
        <is>
          <t>10_2026-01-13</t>
        </is>
      </c>
      <c r="B104" t="n">
        <v>10</v>
      </c>
      <c r="C104" t="inlineStr">
        <is>
          <t>Merchant_010</t>
        </is>
      </c>
      <c r="D104" t="inlineStr">
        <is>
          <t>West</t>
        </is>
      </c>
      <c r="E104" s="5" t="n">
        <v>46035</v>
      </c>
      <c r="F104" t="n">
        <v>1499</v>
      </c>
      <c r="G104">
        <f>IF(AND(F104&gt;5000,D104&lt;&gt;"East"),"High-Value Merchant Day","Normal")</f>
        <v/>
      </c>
    </row>
    <row r="105">
      <c r="A105" t="inlineStr">
        <is>
          <t>10_2026-01-14</t>
        </is>
      </c>
      <c r="B105" t="n">
        <v>10</v>
      </c>
      <c r="C105" t="inlineStr">
        <is>
          <t>Merchant_010</t>
        </is>
      </c>
      <c r="D105" t="inlineStr">
        <is>
          <t>West</t>
        </is>
      </c>
      <c r="E105" s="5" t="n">
        <v>46036</v>
      </c>
      <c r="F105" t="n">
        <v>499</v>
      </c>
      <c r="G105">
        <f>IF(AND(F105&gt;5000,D105&lt;&gt;"East"),"High-Value Merchant Day","Normal")</f>
        <v/>
      </c>
    </row>
    <row r="106">
      <c r="A106" t="inlineStr">
        <is>
          <t>10_2026-01-15</t>
        </is>
      </c>
      <c r="B106" t="n">
        <v>10</v>
      </c>
      <c r="C106" t="inlineStr">
        <is>
          <t>Merchant_010</t>
        </is>
      </c>
      <c r="D106" t="inlineStr">
        <is>
          <t>West</t>
        </is>
      </c>
      <c r="E106" s="5" t="n">
        <v>46037</v>
      </c>
      <c r="F106" t="n">
        <v>2999</v>
      </c>
      <c r="G106">
        <f>IF(AND(F106&gt;5000,D106&lt;&gt;"East"),"High-Value Merchant Day","Normal")</f>
        <v/>
      </c>
    </row>
    <row r="107">
      <c r="A107" t="inlineStr">
        <is>
          <t>10_2026-01-16</t>
        </is>
      </c>
      <c r="B107" t="n">
        <v>10</v>
      </c>
      <c r="C107" t="inlineStr">
        <is>
          <t>Merchant_010</t>
        </is>
      </c>
      <c r="D107" t="inlineStr">
        <is>
          <t>West</t>
        </is>
      </c>
      <c r="E107" s="5" t="n">
        <v>46038</v>
      </c>
      <c r="F107" t="n">
        <v>49</v>
      </c>
      <c r="G107">
        <f>IF(AND(F107&gt;5000,D107&lt;&gt;"East"),"High-Value Merchant Day","Normal")</f>
        <v/>
      </c>
    </row>
    <row r="108">
      <c r="A108" t="inlineStr">
        <is>
          <t>10_2026-01-19</t>
        </is>
      </c>
      <c r="B108" t="n">
        <v>10</v>
      </c>
      <c r="C108" t="inlineStr">
        <is>
          <t>Merchant_010</t>
        </is>
      </c>
      <c r="D108" t="inlineStr">
        <is>
          <t>West</t>
        </is>
      </c>
      <c r="E108" s="5" t="n">
        <v>46041</v>
      </c>
      <c r="F108" t="n">
        <v>499</v>
      </c>
      <c r="G108">
        <f>IF(AND(F108&gt;5000,D108&lt;&gt;"East"),"High-Value Merchant Day","Normal")</f>
        <v/>
      </c>
    </row>
    <row r="109">
      <c r="A109" t="inlineStr">
        <is>
          <t>10_2026-01-20</t>
        </is>
      </c>
      <c r="B109" t="n">
        <v>10</v>
      </c>
      <c r="C109" t="inlineStr">
        <is>
          <t>Merchant_010</t>
        </is>
      </c>
      <c r="D109" t="inlineStr">
        <is>
          <t>West</t>
        </is>
      </c>
      <c r="E109" s="5" t="n">
        <v>46042</v>
      </c>
      <c r="F109" t="n">
        <v>4999</v>
      </c>
      <c r="G109">
        <f>IF(AND(F109&gt;5000,D109&lt;&gt;"East"),"High-Value Merchant Day","Normal")</f>
        <v/>
      </c>
    </row>
    <row r="110">
      <c r="A110" t="inlineStr">
        <is>
          <t>10_2026-01-21</t>
        </is>
      </c>
      <c r="B110" t="n">
        <v>10</v>
      </c>
      <c r="C110" t="inlineStr">
        <is>
          <t>Merchant_010</t>
        </is>
      </c>
      <c r="D110" t="inlineStr">
        <is>
          <t>West</t>
        </is>
      </c>
      <c r="E110" s="5" t="n">
        <v>46043</v>
      </c>
      <c r="F110" t="n">
        <v>398</v>
      </c>
      <c r="G110">
        <f>IF(AND(F110&gt;5000,D110&lt;&gt;"East"),"High-Value Merchant Day","Normal")</f>
        <v/>
      </c>
    </row>
    <row r="111">
      <c r="A111" t="inlineStr">
        <is>
          <t>10_2026-01-29</t>
        </is>
      </c>
      <c r="B111" t="n">
        <v>10</v>
      </c>
      <c r="C111" t="inlineStr">
        <is>
          <t>Merchant_010</t>
        </is>
      </c>
      <c r="D111" t="inlineStr">
        <is>
          <t>West</t>
        </is>
      </c>
      <c r="E111" s="5" t="n">
        <v>46051</v>
      </c>
      <c r="F111" t="n">
        <v>799</v>
      </c>
      <c r="G111">
        <f>IF(AND(F111&gt;5000,D111&lt;&gt;"East"),"High-Value Merchant Day","Normal")</f>
        <v/>
      </c>
    </row>
    <row r="112">
      <c r="A112" t="inlineStr">
        <is>
          <t>11_2026-01-04</t>
        </is>
      </c>
      <c r="B112" t="n">
        <v>11</v>
      </c>
      <c r="C112" t="inlineStr">
        <is>
          <t>Merchant_011</t>
        </is>
      </c>
      <c r="D112" t="inlineStr">
        <is>
          <t>North</t>
        </is>
      </c>
      <c r="E112" s="5" t="n">
        <v>46026</v>
      </c>
      <c r="F112" t="n">
        <v>1499</v>
      </c>
      <c r="G112">
        <f>IF(AND(F112&gt;5000,D112&lt;&gt;"East"),"High-Value Merchant Day","Normal")</f>
        <v/>
      </c>
    </row>
    <row r="113">
      <c r="A113" t="inlineStr">
        <is>
          <t>11_2026-01-06</t>
        </is>
      </c>
      <c r="B113" t="n">
        <v>11</v>
      </c>
      <c r="C113" t="inlineStr">
        <is>
          <t>Merchant_011</t>
        </is>
      </c>
      <c r="D113" t="inlineStr">
        <is>
          <t>North</t>
        </is>
      </c>
      <c r="E113" s="5" t="n">
        <v>46028</v>
      </c>
      <c r="F113" t="n">
        <v>1499</v>
      </c>
      <c r="G113">
        <f>IF(AND(F113&gt;5000,D113&lt;&gt;"East"),"High-Value Merchant Day","Normal")</f>
        <v/>
      </c>
    </row>
    <row r="114">
      <c r="A114" t="inlineStr">
        <is>
          <t>11_2026-01-07</t>
        </is>
      </c>
      <c r="B114" t="n">
        <v>11</v>
      </c>
      <c r="C114" t="inlineStr">
        <is>
          <t>Merchant_011</t>
        </is>
      </c>
      <c r="D114" t="inlineStr">
        <is>
          <t>North</t>
        </is>
      </c>
      <c r="E114" s="5" t="n">
        <v>46029</v>
      </c>
      <c r="F114" t="n">
        <v>49</v>
      </c>
      <c r="G114">
        <f>IF(AND(F114&gt;5000,D114&lt;&gt;"East"),"High-Value Merchant Day","Normal")</f>
        <v/>
      </c>
    </row>
    <row r="115">
      <c r="A115" t="inlineStr">
        <is>
          <t>11_2026-01-11</t>
        </is>
      </c>
      <c r="B115" t="n">
        <v>11</v>
      </c>
      <c r="C115" t="inlineStr">
        <is>
          <t>Merchant_011</t>
        </is>
      </c>
      <c r="D115" t="inlineStr">
        <is>
          <t>North</t>
        </is>
      </c>
      <c r="E115" s="5" t="n">
        <v>46033</v>
      </c>
      <c r="F115" t="n">
        <v>4999</v>
      </c>
      <c r="G115">
        <f>IF(AND(F115&gt;5000,D115&lt;&gt;"East"),"High-Value Merchant Day","Normal")</f>
        <v/>
      </c>
    </row>
    <row r="116">
      <c r="A116" t="inlineStr">
        <is>
          <t>11_2026-01-18</t>
        </is>
      </c>
      <c r="B116" t="n">
        <v>11</v>
      </c>
      <c r="C116" t="inlineStr">
        <is>
          <t>Merchant_011</t>
        </is>
      </c>
      <c r="D116" t="inlineStr">
        <is>
          <t>North</t>
        </is>
      </c>
      <c r="E116" s="5" t="n">
        <v>46040</v>
      </c>
      <c r="F116" t="n">
        <v>499</v>
      </c>
      <c r="G116">
        <f>IF(AND(F116&gt;5000,D116&lt;&gt;"East"),"High-Value Merchant Day","Normal")</f>
        <v/>
      </c>
    </row>
    <row r="117">
      <c r="A117" t="inlineStr">
        <is>
          <t>11_2026-01-20</t>
        </is>
      </c>
      <c r="B117" t="n">
        <v>11</v>
      </c>
      <c r="C117" t="inlineStr">
        <is>
          <t>Merchant_011</t>
        </is>
      </c>
      <c r="D117" t="inlineStr">
        <is>
          <t>North</t>
        </is>
      </c>
      <c r="E117" s="5" t="n">
        <v>46042</v>
      </c>
      <c r="F117" t="n">
        <v>299</v>
      </c>
      <c r="G117">
        <f>IF(AND(F117&gt;5000,D117&lt;&gt;"East"),"High-Value Merchant Day","Normal")</f>
        <v/>
      </c>
    </row>
    <row r="118">
      <c r="A118" t="inlineStr">
        <is>
          <t>11_2026-01-21</t>
        </is>
      </c>
      <c r="B118" t="n">
        <v>11</v>
      </c>
      <c r="C118" t="inlineStr">
        <is>
          <t>Merchant_011</t>
        </is>
      </c>
      <c r="D118" t="inlineStr">
        <is>
          <t>North</t>
        </is>
      </c>
      <c r="E118" s="5" t="n">
        <v>46043</v>
      </c>
      <c r="F118" t="n">
        <v>149</v>
      </c>
      <c r="G118">
        <f>IF(AND(F118&gt;5000,D118&lt;&gt;"East"),"High-Value Merchant Day","Normal")</f>
        <v/>
      </c>
    </row>
    <row r="119">
      <c r="A119" t="inlineStr">
        <is>
          <t>11_2026-01-24</t>
        </is>
      </c>
      <c r="B119" t="n">
        <v>11</v>
      </c>
      <c r="C119" t="inlineStr">
        <is>
          <t>Merchant_011</t>
        </is>
      </c>
      <c r="D119" t="inlineStr">
        <is>
          <t>North</t>
        </is>
      </c>
      <c r="E119" s="5" t="n">
        <v>46046</v>
      </c>
      <c r="F119" t="n">
        <v>1798</v>
      </c>
      <c r="G119">
        <f>IF(AND(F119&gt;5000,D119&lt;&gt;"East"),"High-Value Merchant Day","Normal")</f>
        <v/>
      </c>
    </row>
    <row r="120">
      <c r="A120" t="inlineStr">
        <is>
          <t>11_2026-01-29</t>
        </is>
      </c>
      <c r="B120" t="n">
        <v>11</v>
      </c>
      <c r="C120" t="inlineStr">
        <is>
          <t>Merchant_011</t>
        </is>
      </c>
      <c r="D120" t="inlineStr">
        <is>
          <t>North</t>
        </is>
      </c>
      <c r="E120" s="5" t="n">
        <v>46051</v>
      </c>
      <c r="F120" t="n">
        <v>149</v>
      </c>
      <c r="G120">
        <f>IF(AND(F120&gt;5000,D120&lt;&gt;"East"),"High-Value Merchant Day","Normal")</f>
        <v/>
      </c>
    </row>
    <row r="121">
      <c r="A121" t="inlineStr">
        <is>
          <t>12_2026-01-01</t>
        </is>
      </c>
      <c r="B121" t="n">
        <v>12</v>
      </c>
      <c r="C121" t="inlineStr">
        <is>
          <t>Merchant_012</t>
        </is>
      </c>
      <c r="D121" t="inlineStr">
        <is>
          <t>East</t>
        </is>
      </c>
      <c r="E121" s="5" t="n">
        <v>46023</v>
      </c>
      <c r="F121" t="n">
        <v>548</v>
      </c>
      <c r="G121">
        <f>IF(AND(F121&gt;5000,D121&lt;&gt;"East"),"High-Value Merchant Day","Normal")</f>
        <v/>
      </c>
    </row>
    <row r="122">
      <c r="A122" t="inlineStr">
        <is>
          <t>12_2026-01-09</t>
        </is>
      </c>
      <c r="B122" t="n">
        <v>12</v>
      </c>
      <c r="C122" t="inlineStr">
        <is>
          <t>Merchant_012</t>
        </is>
      </c>
      <c r="D122" t="inlineStr">
        <is>
          <t>East</t>
        </is>
      </c>
      <c r="E122" s="5" t="n">
        <v>46031</v>
      </c>
      <c r="F122" t="n">
        <v>799</v>
      </c>
      <c r="G122">
        <f>IF(AND(F122&gt;5000,D122&lt;&gt;"East"),"High-Value Merchant Day","Normal")</f>
        <v/>
      </c>
    </row>
    <row r="123">
      <c r="A123" t="inlineStr">
        <is>
          <t>12_2026-01-12</t>
        </is>
      </c>
      <c r="B123" t="n">
        <v>12</v>
      </c>
      <c r="C123" t="inlineStr">
        <is>
          <t>Merchant_012</t>
        </is>
      </c>
      <c r="D123" t="inlineStr">
        <is>
          <t>East</t>
        </is>
      </c>
      <c r="E123" s="5" t="n">
        <v>46034</v>
      </c>
      <c r="F123" t="n">
        <v>1998</v>
      </c>
      <c r="G123">
        <f>IF(AND(F123&gt;5000,D123&lt;&gt;"East"),"High-Value Merchant Day","Normal")</f>
        <v/>
      </c>
    </row>
    <row r="124">
      <c r="A124" t="inlineStr">
        <is>
          <t>12_2026-01-14</t>
        </is>
      </c>
      <c r="B124" t="n">
        <v>12</v>
      </c>
      <c r="C124" t="inlineStr">
        <is>
          <t>Merchant_012</t>
        </is>
      </c>
      <c r="D124" t="inlineStr">
        <is>
          <t>East</t>
        </is>
      </c>
      <c r="E124" s="5" t="n">
        <v>46036</v>
      </c>
      <c r="F124" t="n">
        <v>548</v>
      </c>
      <c r="G124">
        <f>IF(AND(F124&gt;5000,D124&lt;&gt;"East"),"High-Value Merchant Day","Normal")</f>
        <v/>
      </c>
    </row>
    <row r="125">
      <c r="A125" t="inlineStr">
        <is>
          <t>12_2026-01-18</t>
        </is>
      </c>
      <c r="B125" t="n">
        <v>12</v>
      </c>
      <c r="C125" t="inlineStr">
        <is>
          <t>Merchant_012</t>
        </is>
      </c>
      <c r="D125" t="inlineStr">
        <is>
          <t>East</t>
        </is>
      </c>
      <c r="E125" s="5" t="n">
        <v>46040</v>
      </c>
      <c r="F125" t="n">
        <v>799</v>
      </c>
      <c r="G125">
        <f>IF(AND(F125&gt;5000,D125&lt;&gt;"East"),"High-Value Merchant Day","Normal")</f>
        <v/>
      </c>
    </row>
    <row r="126">
      <c r="A126" t="inlineStr">
        <is>
          <t>12_2026-01-22</t>
        </is>
      </c>
      <c r="B126" t="n">
        <v>12</v>
      </c>
      <c r="C126" t="inlineStr">
        <is>
          <t>Merchant_012</t>
        </is>
      </c>
      <c r="D126" t="inlineStr">
        <is>
          <t>East</t>
        </is>
      </c>
      <c r="E126" s="5" t="n">
        <v>46044</v>
      </c>
      <c r="F126" t="n">
        <v>99</v>
      </c>
      <c r="G126">
        <f>IF(AND(F126&gt;5000,D126&lt;&gt;"East"),"High-Value Merchant Day","Normal")</f>
        <v/>
      </c>
    </row>
    <row r="127">
      <c r="A127" t="inlineStr">
        <is>
          <t>12_2026-01-23</t>
        </is>
      </c>
      <c r="B127" t="n">
        <v>12</v>
      </c>
      <c r="C127" t="inlineStr">
        <is>
          <t>Merchant_012</t>
        </is>
      </c>
      <c r="D127" t="inlineStr">
        <is>
          <t>East</t>
        </is>
      </c>
      <c r="E127" s="5" t="n">
        <v>46045</v>
      </c>
      <c r="F127" t="n">
        <v>448</v>
      </c>
      <c r="G127">
        <f>IF(AND(F127&gt;5000,D127&lt;&gt;"East"),"High-Value Merchant Day","Normal")</f>
        <v/>
      </c>
    </row>
    <row r="128">
      <c r="A128" t="inlineStr">
        <is>
          <t>12_2026-01-27</t>
        </is>
      </c>
      <c r="B128" t="n">
        <v>12</v>
      </c>
      <c r="C128" t="inlineStr">
        <is>
          <t>Merchant_012</t>
        </is>
      </c>
      <c r="D128" t="inlineStr">
        <is>
          <t>East</t>
        </is>
      </c>
      <c r="E128" s="5" t="n">
        <v>46049</v>
      </c>
      <c r="F128" t="n">
        <v>149</v>
      </c>
      <c r="G128">
        <f>IF(AND(F128&gt;5000,D128&lt;&gt;"East"),"High-Value Merchant Day","Normal")</f>
        <v/>
      </c>
    </row>
    <row r="129">
      <c r="A129" t="inlineStr">
        <is>
          <t>12_2026-01-30</t>
        </is>
      </c>
      <c r="B129" t="n">
        <v>12</v>
      </c>
      <c r="C129" t="inlineStr">
        <is>
          <t>Merchant_012</t>
        </is>
      </c>
      <c r="D129" t="inlineStr">
        <is>
          <t>East</t>
        </is>
      </c>
      <c r="E129" s="5" t="n">
        <v>46052</v>
      </c>
      <c r="F129" t="n">
        <v>4999</v>
      </c>
      <c r="G129">
        <f>IF(AND(F129&gt;5000,D129&lt;&gt;"East"),"High-Value Merchant Day","Normal")</f>
        <v/>
      </c>
    </row>
    <row r="130">
      <c r="A130" t="inlineStr">
        <is>
          <t>13_2026-01-08</t>
        </is>
      </c>
      <c r="B130" t="n">
        <v>13</v>
      </c>
      <c r="C130" t="inlineStr">
        <is>
          <t>Merchant_013</t>
        </is>
      </c>
      <c r="D130" t="inlineStr">
        <is>
          <t>East</t>
        </is>
      </c>
      <c r="E130" s="5" t="n">
        <v>46030</v>
      </c>
      <c r="F130" t="n">
        <v>149</v>
      </c>
      <c r="G130">
        <f>IF(AND(F130&gt;5000,D130&lt;&gt;"East"),"High-Value Merchant Day","Normal")</f>
        <v/>
      </c>
    </row>
    <row r="131">
      <c r="A131" t="inlineStr">
        <is>
          <t>13_2026-01-09</t>
        </is>
      </c>
      <c r="B131" t="n">
        <v>13</v>
      </c>
      <c r="C131" t="inlineStr">
        <is>
          <t>Merchant_013</t>
        </is>
      </c>
      <c r="D131" t="inlineStr">
        <is>
          <t>East</t>
        </is>
      </c>
      <c r="E131" s="5" t="n">
        <v>46031</v>
      </c>
      <c r="F131" t="n">
        <v>198</v>
      </c>
      <c r="G131">
        <f>IF(AND(F131&gt;5000,D131&lt;&gt;"East"),"High-Value Merchant Day","Normal")</f>
        <v/>
      </c>
    </row>
    <row r="132">
      <c r="A132" t="inlineStr">
        <is>
          <t>13_2026-01-10</t>
        </is>
      </c>
      <c r="B132" t="n">
        <v>13</v>
      </c>
      <c r="C132" t="inlineStr">
        <is>
          <t>Merchant_013</t>
        </is>
      </c>
      <c r="D132" t="inlineStr">
        <is>
          <t>East</t>
        </is>
      </c>
      <c r="E132" s="5" t="n">
        <v>46032</v>
      </c>
      <c r="F132" t="n">
        <v>99</v>
      </c>
      <c r="G132">
        <f>IF(AND(F132&gt;5000,D132&lt;&gt;"East"),"High-Value Merchant Day","Normal")</f>
        <v/>
      </c>
    </row>
    <row r="133">
      <c r="A133" t="inlineStr">
        <is>
          <t>13_2026-01-14</t>
        </is>
      </c>
      <c r="B133" t="n">
        <v>13</v>
      </c>
      <c r="C133" t="inlineStr">
        <is>
          <t>Merchant_013</t>
        </is>
      </c>
      <c r="D133" t="inlineStr">
        <is>
          <t>East</t>
        </is>
      </c>
      <c r="E133" s="5" t="n">
        <v>46036</v>
      </c>
      <c r="F133" t="n">
        <v>1499</v>
      </c>
      <c r="G133">
        <f>IF(AND(F133&gt;5000,D133&lt;&gt;"East"),"High-Value Merchant Day","Normal")</f>
        <v/>
      </c>
    </row>
    <row r="134">
      <c r="A134" t="inlineStr">
        <is>
          <t>13_2026-01-15</t>
        </is>
      </c>
      <c r="B134" t="n">
        <v>13</v>
      </c>
      <c r="C134" t="inlineStr">
        <is>
          <t>Merchant_013</t>
        </is>
      </c>
      <c r="D134" t="inlineStr">
        <is>
          <t>East</t>
        </is>
      </c>
      <c r="E134" s="5" t="n">
        <v>46037</v>
      </c>
      <c r="F134" t="n">
        <v>49</v>
      </c>
      <c r="G134">
        <f>IF(AND(F134&gt;5000,D134&lt;&gt;"East"),"High-Value Merchant Day","Normal")</f>
        <v/>
      </c>
    </row>
    <row r="135">
      <c r="A135" t="inlineStr">
        <is>
          <t>13_2026-01-20</t>
        </is>
      </c>
      <c r="B135" t="n">
        <v>13</v>
      </c>
      <c r="C135" t="inlineStr">
        <is>
          <t>Merchant_013</t>
        </is>
      </c>
      <c r="D135" t="inlineStr">
        <is>
          <t>East</t>
        </is>
      </c>
      <c r="E135" s="5" t="n">
        <v>46042</v>
      </c>
      <c r="F135" t="n">
        <v>4999</v>
      </c>
      <c r="G135">
        <f>IF(AND(F135&gt;5000,D135&lt;&gt;"East"),"High-Value Merchant Day","Normal")</f>
        <v/>
      </c>
    </row>
    <row r="136">
      <c r="A136" t="inlineStr">
        <is>
          <t>13_2026-01-21</t>
        </is>
      </c>
      <c r="B136" t="n">
        <v>13</v>
      </c>
      <c r="C136" t="inlineStr">
        <is>
          <t>Merchant_013</t>
        </is>
      </c>
      <c r="D136" t="inlineStr">
        <is>
          <t>East</t>
        </is>
      </c>
      <c r="E136" s="5" t="n">
        <v>46043</v>
      </c>
      <c r="F136" t="n">
        <v>4999</v>
      </c>
      <c r="G136">
        <f>IF(AND(F136&gt;5000,D136&lt;&gt;"East"),"High-Value Merchant Day","Normal")</f>
        <v/>
      </c>
    </row>
    <row r="137">
      <c r="A137" t="inlineStr">
        <is>
          <t>13_2026-01-24</t>
        </is>
      </c>
      <c r="B137" t="n">
        <v>13</v>
      </c>
      <c r="C137" t="inlineStr">
        <is>
          <t>Merchant_013</t>
        </is>
      </c>
      <c r="D137" t="inlineStr">
        <is>
          <t>East</t>
        </is>
      </c>
      <c r="E137" s="5" t="n">
        <v>46046</v>
      </c>
      <c r="F137" t="n">
        <v>2999</v>
      </c>
      <c r="G137">
        <f>IF(AND(F137&gt;5000,D137&lt;&gt;"East"),"High-Value Merchant Day","Normal")</f>
        <v/>
      </c>
    </row>
    <row r="138">
      <c r="A138" t="inlineStr">
        <is>
          <t>13_2026-01-26</t>
        </is>
      </c>
      <c r="B138" t="n">
        <v>13</v>
      </c>
      <c r="C138" t="inlineStr">
        <is>
          <t>Merchant_013</t>
        </is>
      </c>
      <c r="D138" t="inlineStr">
        <is>
          <t>East</t>
        </is>
      </c>
      <c r="E138" s="5" t="n">
        <v>46048</v>
      </c>
      <c r="F138" t="n">
        <v>299</v>
      </c>
      <c r="G138">
        <f>IF(AND(F138&gt;5000,D138&lt;&gt;"East"),"High-Value Merchant Day","Normal")</f>
        <v/>
      </c>
    </row>
    <row r="139">
      <c r="A139" t="inlineStr">
        <is>
          <t>13_2026-01-27</t>
        </is>
      </c>
      <c r="B139" t="n">
        <v>13</v>
      </c>
      <c r="C139" t="inlineStr">
        <is>
          <t>Merchant_013</t>
        </is>
      </c>
      <c r="D139" t="inlineStr">
        <is>
          <t>East</t>
        </is>
      </c>
      <c r="E139" s="5" t="n">
        <v>46049</v>
      </c>
      <c r="F139" t="n">
        <v>99</v>
      </c>
      <c r="G139">
        <f>IF(AND(F139&gt;5000,D139&lt;&gt;"East"),"High-Value Merchant Day","Normal")</f>
        <v/>
      </c>
    </row>
    <row r="140">
      <c r="A140" t="inlineStr">
        <is>
          <t>13_2026-01-28</t>
        </is>
      </c>
      <c r="B140" t="n">
        <v>13</v>
      </c>
      <c r="C140" t="inlineStr">
        <is>
          <t>Merchant_013</t>
        </is>
      </c>
      <c r="D140" t="inlineStr">
        <is>
          <t>East</t>
        </is>
      </c>
      <c r="E140" s="5" t="n">
        <v>46050</v>
      </c>
      <c r="F140" t="n">
        <v>2999</v>
      </c>
      <c r="G140">
        <f>IF(AND(F140&gt;5000,D140&lt;&gt;"East"),"High-Value Merchant Day","Normal")</f>
        <v/>
      </c>
    </row>
    <row r="141">
      <c r="A141" t="inlineStr">
        <is>
          <t>14_2026-01-01</t>
        </is>
      </c>
      <c r="B141" t="n">
        <v>14</v>
      </c>
      <c r="C141" t="inlineStr">
        <is>
          <t>Merchant_014</t>
        </is>
      </c>
      <c r="D141" t="inlineStr">
        <is>
          <t>East</t>
        </is>
      </c>
      <c r="E141" s="5" t="n">
        <v>46023</v>
      </c>
      <c r="F141" t="n">
        <v>299</v>
      </c>
      <c r="G141">
        <f>IF(AND(F141&gt;5000,D141&lt;&gt;"East"),"High-Value Merchant Day","Normal")</f>
        <v/>
      </c>
    </row>
    <row r="142">
      <c r="A142" t="inlineStr">
        <is>
          <t>14_2026-01-02</t>
        </is>
      </c>
      <c r="B142" t="n">
        <v>14</v>
      </c>
      <c r="C142" t="inlineStr">
        <is>
          <t>Merchant_014</t>
        </is>
      </c>
      <c r="D142" t="inlineStr">
        <is>
          <t>East</t>
        </is>
      </c>
      <c r="E142" s="5" t="n">
        <v>46024</v>
      </c>
      <c r="F142" t="n">
        <v>1499</v>
      </c>
      <c r="G142">
        <f>IF(AND(F142&gt;5000,D142&lt;&gt;"East"),"High-Value Merchant Day","Normal")</f>
        <v/>
      </c>
    </row>
    <row r="143">
      <c r="A143" t="inlineStr">
        <is>
          <t>14_2026-01-03</t>
        </is>
      </c>
      <c r="B143" t="n">
        <v>14</v>
      </c>
      <c r="C143" t="inlineStr">
        <is>
          <t>Merchant_014</t>
        </is>
      </c>
      <c r="D143" t="inlineStr">
        <is>
          <t>East</t>
        </is>
      </c>
      <c r="E143" s="5" t="n">
        <v>46025</v>
      </c>
      <c r="F143" t="n">
        <v>149</v>
      </c>
      <c r="G143">
        <f>IF(AND(F143&gt;5000,D143&lt;&gt;"East"),"High-Value Merchant Day","Normal")</f>
        <v/>
      </c>
    </row>
    <row r="144">
      <c r="A144" t="inlineStr">
        <is>
          <t>14_2026-01-04</t>
        </is>
      </c>
      <c r="B144" t="n">
        <v>14</v>
      </c>
      <c r="C144" t="inlineStr">
        <is>
          <t>Merchant_014</t>
        </is>
      </c>
      <c r="D144" t="inlineStr">
        <is>
          <t>East</t>
        </is>
      </c>
      <c r="E144" s="5" t="n">
        <v>46026</v>
      </c>
      <c r="F144" t="n">
        <v>99</v>
      </c>
      <c r="G144">
        <f>IF(AND(F144&gt;5000,D144&lt;&gt;"East"),"High-Value Merchant Day","Normal")</f>
        <v/>
      </c>
    </row>
    <row r="145">
      <c r="A145" t="inlineStr">
        <is>
          <t>14_2026-01-05</t>
        </is>
      </c>
      <c r="B145" t="n">
        <v>14</v>
      </c>
      <c r="C145" t="inlineStr">
        <is>
          <t>Merchant_014</t>
        </is>
      </c>
      <c r="D145" t="inlineStr">
        <is>
          <t>East</t>
        </is>
      </c>
      <c r="E145" s="5" t="n">
        <v>46027</v>
      </c>
      <c r="F145" t="n">
        <v>1499</v>
      </c>
      <c r="G145">
        <f>IF(AND(F145&gt;5000,D145&lt;&gt;"East"),"High-Value Merchant Day","Normal")</f>
        <v/>
      </c>
    </row>
    <row r="146">
      <c r="A146" t="inlineStr">
        <is>
          <t>14_2026-01-07</t>
        </is>
      </c>
      <c r="B146" t="n">
        <v>14</v>
      </c>
      <c r="C146" t="inlineStr">
        <is>
          <t>Merchant_014</t>
        </is>
      </c>
      <c r="D146" t="inlineStr">
        <is>
          <t>East</t>
        </is>
      </c>
      <c r="E146" s="5" t="n">
        <v>46029</v>
      </c>
      <c r="F146" t="n">
        <v>49</v>
      </c>
      <c r="G146">
        <f>IF(AND(F146&gt;5000,D146&lt;&gt;"East"),"High-Value Merchant Day","Normal")</f>
        <v/>
      </c>
    </row>
    <row r="147">
      <c r="A147" t="inlineStr">
        <is>
          <t>14_2026-01-08</t>
        </is>
      </c>
      <c r="B147" t="n">
        <v>14</v>
      </c>
      <c r="C147" t="inlineStr">
        <is>
          <t>Merchant_014</t>
        </is>
      </c>
      <c r="D147" t="inlineStr">
        <is>
          <t>East</t>
        </is>
      </c>
      <c r="E147" s="5" t="n">
        <v>46030</v>
      </c>
      <c r="F147" t="n">
        <v>799</v>
      </c>
      <c r="G147">
        <f>IF(AND(F147&gt;5000,D147&lt;&gt;"East"),"High-Value Merchant Day","Normal")</f>
        <v/>
      </c>
    </row>
    <row r="148">
      <c r="A148" t="inlineStr">
        <is>
          <t>14_2026-01-18</t>
        </is>
      </c>
      <c r="B148" t="n">
        <v>14</v>
      </c>
      <c r="C148" t="inlineStr">
        <is>
          <t>Merchant_014</t>
        </is>
      </c>
      <c r="D148" t="inlineStr">
        <is>
          <t>East</t>
        </is>
      </c>
      <c r="E148" s="5" t="n">
        <v>46040</v>
      </c>
      <c r="F148" t="n">
        <v>99</v>
      </c>
      <c r="G148">
        <f>IF(AND(F148&gt;5000,D148&lt;&gt;"East"),"High-Value Merchant Day","Normal")</f>
        <v/>
      </c>
    </row>
    <row r="149">
      <c r="A149" t="inlineStr">
        <is>
          <t>14_2026-01-19</t>
        </is>
      </c>
      <c r="B149" t="n">
        <v>14</v>
      </c>
      <c r="C149" t="inlineStr">
        <is>
          <t>Merchant_014</t>
        </is>
      </c>
      <c r="D149" t="inlineStr">
        <is>
          <t>East</t>
        </is>
      </c>
      <c r="E149" s="5" t="n">
        <v>46041</v>
      </c>
      <c r="F149" t="n">
        <v>99</v>
      </c>
      <c r="G149">
        <f>IF(AND(F149&gt;5000,D149&lt;&gt;"East"),"High-Value Merchant Day","Normal")</f>
        <v/>
      </c>
    </row>
    <row r="150">
      <c r="A150" t="inlineStr">
        <is>
          <t>14_2026-01-20</t>
        </is>
      </c>
      <c r="B150" t="n">
        <v>14</v>
      </c>
      <c r="C150" t="inlineStr">
        <is>
          <t>Merchant_014</t>
        </is>
      </c>
      <c r="D150" t="inlineStr">
        <is>
          <t>East</t>
        </is>
      </c>
      <c r="E150" s="5" t="n">
        <v>46042</v>
      </c>
      <c r="F150" t="n">
        <v>299</v>
      </c>
      <c r="G150">
        <f>IF(AND(F150&gt;5000,D150&lt;&gt;"East"),"High-Value Merchant Day","Normal")</f>
        <v/>
      </c>
    </row>
    <row r="151">
      <c r="A151" t="inlineStr">
        <is>
          <t>14_2026-01-25</t>
        </is>
      </c>
      <c r="B151" t="n">
        <v>14</v>
      </c>
      <c r="C151" t="inlineStr">
        <is>
          <t>Merchant_014</t>
        </is>
      </c>
      <c r="D151" t="inlineStr">
        <is>
          <t>East</t>
        </is>
      </c>
      <c r="E151" s="5" t="n">
        <v>46047</v>
      </c>
      <c r="F151" t="n">
        <v>1598</v>
      </c>
      <c r="G151">
        <f>IF(AND(F151&gt;5000,D151&lt;&gt;"East"),"High-Value Merchant Day","Normal")</f>
        <v/>
      </c>
    </row>
    <row r="152">
      <c r="A152" t="inlineStr">
        <is>
          <t>15_2026-01-01</t>
        </is>
      </c>
      <c r="B152" t="n">
        <v>15</v>
      </c>
      <c r="C152" t="inlineStr">
        <is>
          <t>Merchant_015</t>
        </is>
      </c>
      <c r="D152" t="inlineStr">
        <is>
          <t>North</t>
        </is>
      </c>
      <c r="E152" s="5" t="n">
        <v>46023</v>
      </c>
      <c r="F152" t="n">
        <v>499</v>
      </c>
      <c r="G152">
        <f>IF(AND(F152&gt;5000,D152&lt;&gt;"East"),"High-Value Merchant Day","Normal")</f>
        <v/>
      </c>
    </row>
    <row r="153">
      <c r="A153" t="inlineStr">
        <is>
          <t>15_2026-01-07</t>
        </is>
      </c>
      <c r="B153" t="n">
        <v>15</v>
      </c>
      <c r="C153" t="inlineStr">
        <is>
          <t>Merchant_015</t>
        </is>
      </c>
      <c r="D153" t="inlineStr">
        <is>
          <t>North</t>
        </is>
      </c>
      <c r="E153" s="5" t="n">
        <v>46029</v>
      </c>
      <c r="F153" t="n">
        <v>49</v>
      </c>
      <c r="G153">
        <f>IF(AND(F153&gt;5000,D153&lt;&gt;"East"),"High-Value Merchant Day","Normal")</f>
        <v/>
      </c>
    </row>
    <row r="154">
      <c r="A154" t="inlineStr">
        <is>
          <t>15_2026-01-10</t>
        </is>
      </c>
      <c r="B154" t="n">
        <v>15</v>
      </c>
      <c r="C154" t="inlineStr">
        <is>
          <t>Merchant_015</t>
        </is>
      </c>
      <c r="D154" t="inlineStr">
        <is>
          <t>North</t>
        </is>
      </c>
      <c r="E154" s="5" t="n">
        <v>46032</v>
      </c>
      <c r="F154" t="n">
        <v>49</v>
      </c>
      <c r="G154">
        <f>IF(AND(F154&gt;5000,D154&lt;&gt;"East"),"High-Value Merchant Day","Normal")</f>
        <v/>
      </c>
    </row>
    <row r="155">
      <c r="A155" t="inlineStr">
        <is>
          <t>15_2026-01-13</t>
        </is>
      </c>
      <c r="B155" t="n">
        <v>15</v>
      </c>
      <c r="C155" t="inlineStr">
        <is>
          <t>Merchant_015</t>
        </is>
      </c>
      <c r="D155" t="inlineStr">
        <is>
          <t>North</t>
        </is>
      </c>
      <c r="E155" s="5" t="n">
        <v>46035</v>
      </c>
      <c r="F155" t="n">
        <v>299</v>
      </c>
      <c r="G155">
        <f>IF(AND(F155&gt;5000,D155&lt;&gt;"East"),"High-Value Merchant Day","Normal")</f>
        <v/>
      </c>
    </row>
    <row r="156">
      <c r="A156" t="inlineStr">
        <is>
          <t>15_2026-01-14</t>
        </is>
      </c>
      <c r="B156" t="n">
        <v>15</v>
      </c>
      <c r="C156" t="inlineStr">
        <is>
          <t>Merchant_015</t>
        </is>
      </c>
      <c r="D156" t="inlineStr">
        <is>
          <t>North</t>
        </is>
      </c>
      <c r="E156" s="5" t="n">
        <v>46036</v>
      </c>
      <c r="F156" t="n">
        <v>399</v>
      </c>
      <c r="G156">
        <f>IF(AND(F156&gt;5000,D156&lt;&gt;"East"),"High-Value Merchant Day","Normal")</f>
        <v/>
      </c>
    </row>
    <row r="157">
      <c r="A157" t="inlineStr">
        <is>
          <t>15_2026-01-19</t>
        </is>
      </c>
      <c r="B157" t="n">
        <v>15</v>
      </c>
      <c r="C157" t="inlineStr">
        <is>
          <t>Merchant_015</t>
        </is>
      </c>
      <c r="D157" t="inlineStr">
        <is>
          <t>North</t>
        </is>
      </c>
      <c r="E157" s="5" t="n">
        <v>46041</v>
      </c>
      <c r="F157" t="n">
        <v>499</v>
      </c>
      <c r="G157">
        <f>IF(AND(F157&gt;5000,D157&lt;&gt;"East"),"High-Value Merchant Day","Normal")</f>
        <v/>
      </c>
    </row>
    <row r="158">
      <c r="A158" t="inlineStr">
        <is>
          <t>15_2026-01-24</t>
        </is>
      </c>
      <c r="B158" t="n">
        <v>15</v>
      </c>
      <c r="C158" t="inlineStr">
        <is>
          <t>Merchant_015</t>
        </is>
      </c>
      <c r="D158" t="inlineStr">
        <is>
          <t>North</t>
        </is>
      </c>
      <c r="E158" s="5" t="n">
        <v>46046</v>
      </c>
      <c r="F158" t="n">
        <v>148</v>
      </c>
      <c r="G158">
        <f>IF(AND(F158&gt;5000,D158&lt;&gt;"East"),"High-Value Merchant Day","Normal")</f>
        <v/>
      </c>
    </row>
    <row r="159">
      <c r="A159" t="inlineStr">
        <is>
          <t>15_2026-01-26</t>
        </is>
      </c>
      <c r="B159" t="n">
        <v>15</v>
      </c>
      <c r="C159" t="inlineStr">
        <is>
          <t>Merchant_015</t>
        </is>
      </c>
      <c r="D159" t="inlineStr">
        <is>
          <t>North</t>
        </is>
      </c>
      <c r="E159" s="5" t="n">
        <v>46048</v>
      </c>
      <c r="F159" t="n">
        <v>4999</v>
      </c>
      <c r="G159">
        <f>IF(AND(F159&gt;5000,D159&lt;&gt;"East"),"High-Value Merchant Day","Normal")</f>
        <v/>
      </c>
    </row>
    <row r="160">
      <c r="A160" t="inlineStr">
        <is>
          <t>15_2026-01-27</t>
        </is>
      </c>
      <c r="B160" t="n">
        <v>15</v>
      </c>
      <c r="C160" t="inlineStr">
        <is>
          <t>Merchant_015</t>
        </is>
      </c>
      <c r="D160" t="inlineStr">
        <is>
          <t>North</t>
        </is>
      </c>
      <c r="E160" s="5" t="n">
        <v>46049</v>
      </c>
      <c r="F160" t="n">
        <v>799</v>
      </c>
      <c r="G160">
        <f>IF(AND(F160&gt;5000,D160&lt;&gt;"East"),"High-Value Merchant Day","Normal")</f>
        <v/>
      </c>
    </row>
    <row r="161">
      <c r="A161" t="inlineStr">
        <is>
          <t>15_2026-01-29</t>
        </is>
      </c>
      <c r="B161" t="n">
        <v>15</v>
      </c>
      <c r="C161" t="inlineStr">
        <is>
          <t>Merchant_015</t>
        </is>
      </c>
      <c r="D161" t="inlineStr">
        <is>
          <t>North</t>
        </is>
      </c>
      <c r="E161" s="5" t="n">
        <v>46051</v>
      </c>
      <c r="F161" t="n">
        <v>98</v>
      </c>
      <c r="G161">
        <f>IF(AND(F161&gt;5000,D161&lt;&gt;"East"),"High-Value Merchant Day","Normal")</f>
        <v/>
      </c>
    </row>
    <row r="162">
      <c r="A162" t="inlineStr">
        <is>
          <t>16_2026-01-02</t>
        </is>
      </c>
      <c r="B162" t="n">
        <v>16</v>
      </c>
      <c r="C162" t="inlineStr">
        <is>
          <t>Merchant_016</t>
        </is>
      </c>
      <c r="D162" t="inlineStr">
        <is>
          <t>West</t>
        </is>
      </c>
      <c r="E162" s="5" t="n">
        <v>46024</v>
      </c>
      <c r="F162" t="n">
        <v>499</v>
      </c>
      <c r="G162">
        <f>IF(AND(F162&gt;5000,D162&lt;&gt;"East"),"High-Value Merchant Day","Normal")</f>
        <v/>
      </c>
    </row>
    <row r="163">
      <c r="A163" t="inlineStr">
        <is>
          <t>16_2026-01-03</t>
        </is>
      </c>
      <c r="B163" t="n">
        <v>16</v>
      </c>
      <c r="C163" t="inlineStr">
        <is>
          <t>Merchant_016</t>
        </is>
      </c>
      <c r="D163" t="inlineStr">
        <is>
          <t>West</t>
        </is>
      </c>
      <c r="E163" s="5" t="n">
        <v>46025</v>
      </c>
      <c r="F163" t="n">
        <v>99</v>
      </c>
      <c r="G163">
        <f>IF(AND(F163&gt;5000,D163&lt;&gt;"East"),"High-Value Merchant Day","Normal")</f>
        <v/>
      </c>
    </row>
    <row r="164">
      <c r="A164" t="inlineStr">
        <is>
          <t>16_2026-01-04</t>
        </is>
      </c>
      <c r="B164" t="n">
        <v>16</v>
      </c>
      <c r="C164" t="inlineStr">
        <is>
          <t>Merchant_016</t>
        </is>
      </c>
      <c r="D164" t="inlineStr">
        <is>
          <t>West</t>
        </is>
      </c>
      <c r="E164" s="5" t="n">
        <v>46026</v>
      </c>
      <c r="F164" t="n">
        <v>49</v>
      </c>
      <c r="G164">
        <f>IF(AND(F164&gt;5000,D164&lt;&gt;"East"),"High-Value Merchant Day","Normal")</f>
        <v/>
      </c>
    </row>
    <row r="165">
      <c r="A165" t="inlineStr">
        <is>
          <t>16_2026-01-05</t>
        </is>
      </c>
      <c r="B165" t="n">
        <v>16</v>
      </c>
      <c r="C165" t="inlineStr">
        <is>
          <t>Merchant_016</t>
        </is>
      </c>
      <c r="D165" t="inlineStr">
        <is>
          <t>West</t>
        </is>
      </c>
      <c r="E165" s="5" t="n">
        <v>46027</v>
      </c>
      <c r="F165" t="n">
        <v>149</v>
      </c>
      <c r="G165">
        <f>IF(AND(F165&gt;5000,D165&lt;&gt;"East"),"High-Value Merchant Day","Normal")</f>
        <v/>
      </c>
    </row>
    <row r="166">
      <c r="A166" t="inlineStr">
        <is>
          <t>16_2026-01-11</t>
        </is>
      </c>
      <c r="B166" t="n">
        <v>16</v>
      </c>
      <c r="C166" t="inlineStr">
        <is>
          <t>Merchant_016</t>
        </is>
      </c>
      <c r="D166" t="inlineStr">
        <is>
          <t>West</t>
        </is>
      </c>
      <c r="E166" s="5" t="n">
        <v>46033</v>
      </c>
      <c r="F166" t="n">
        <v>499</v>
      </c>
      <c r="G166">
        <f>IF(AND(F166&gt;5000,D166&lt;&gt;"East"),"High-Value Merchant Day","Normal")</f>
        <v/>
      </c>
    </row>
    <row r="167">
      <c r="A167" t="inlineStr">
        <is>
          <t>16_2026-01-15</t>
        </is>
      </c>
      <c r="B167" t="n">
        <v>16</v>
      </c>
      <c r="C167" t="inlineStr">
        <is>
          <t>Merchant_016</t>
        </is>
      </c>
      <c r="D167" t="inlineStr">
        <is>
          <t>West</t>
        </is>
      </c>
      <c r="E167" s="5" t="n">
        <v>46037</v>
      </c>
      <c r="F167" t="n">
        <v>2999</v>
      </c>
      <c r="G167">
        <f>IF(AND(F167&gt;5000,D167&lt;&gt;"East"),"High-Value Merchant Day","Normal")</f>
        <v/>
      </c>
    </row>
    <row r="168">
      <c r="A168" t="inlineStr">
        <is>
          <t>16_2026-01-18</t>
        </is>
      </c>
      <c r="B168" t="n">
        <v>16</v>
      </c>
      <c r="C168" t="inlineStr">
        <is>
          <t>Merchant_016</t>
        </is>
      </c>
      <c r="D168" t="inlineStr">
        <is>
          <t>West</t>
        </is>
      </c>
      <c r="E168" s="5" t="n">
        <v>46040</v>
      </c>
      <c r="F168" t="n">
        <v>49</v>
      </c>
      <c r="G168">
        <f>IF(AND(F168&gt;5000,D168&lt;&gt;"East"),"High-Value Merchant Day","Normal")</f>
        <v/>
      </c>
    </row>
    <row r="169">
      <c r="A169" t="inlineStr">
        <is>
          <t>16_2026-01-20</t>
        </is>
      </c>
      <c r="B169" t="n">
        <v>16</v>
      </c>
      <c r="C169" t="inlineStr">
        <is>
          <t>Merchant_016</t>
        </is>
      </c>
      <c r="D169" t="inlineStr">
        <is>
          <t>West</t>
        </is>
      </c>
      <c r="E169" s="5" t="n">
        <v>46042</v>
      </c>
      <c r="F169" t="n">
        <v>448</v>
      </c>
      <c r="G169">
        <f>IF(AND(F169&gt;5000,D169&lt;&gt;"East"),"High-Value Merchant Day","Normal")</f>
        <v/>
      </c>
    </row>
    <row r="170">
      <c r="A170" t="inlineStr">
        <is>
          <t>16_2026-01-23</t>
        </is>
      </c>
      <c r="B170" t="n">
        <v>16</v>
      </c>
      <c r="C170" t="inlineStr">
        <is>
          <t>Merchant_016</t>
        </is>
      </c>
      <c r="D170" t="inlineStr">
        <is>
          <t>West</t>
        </is>
      </c>
      <c r="E170" s="5" t="n">
        <v>46045</v>
      </c>
      <c r="F170" t="n">
        <v>399</v>
      </c>
      <c r="G170">
        <f>IF(AND(F170&gt;5000,D170&lt;&gt;"East"),"High-Value Merchant Day","Normal")</f>
        <v/>
      </c>
    </row>
    <row r="171">
      <c r="A171" t="inlineStr">
        <is>
          <t>16_2026-01-24</t>
        </is>
      </c>
      <c r="B171" t="n">
        <v>16</v>
      </c>
      <c r="C171" t="inlineStr">
        <is>
          <t>Merchant_016</t>
        </is>
      </c>
      <c r="D171" t="inlineStr">
        <is>
          <t>West</t>
        </is>
      </c>
      <c r="E171" s="5" t="n">
        <v>46046</v>
      </c>
      <c r="F171" t="n">
        <v>1548</v>
      </c>
      <c r="G171">
        <f>IF(AND(F171&gt;5000,D171&lt;&gt;"East"),"High-Value Merchant Day","Normal")</f>
        <v/>
      </c>
    </row>
    <row r="172">
      <c r="A172" t="inlineStr">
        <is>
          <t>16_2026-01-25</t>
        </is>
      </c>
      <c r="B172" t="n">
        <v>16</v>
      </c>
      <c r="C172" t="inlineStr">
        <is>
          <t>Merchant_016</t>
        </is>
      </c>
      <c r="D172" t="inlineStr">
        <is>
          <t>West</t>
        </is>
      </c>
      <c r="E172" s="5" t="n">
        <v>46047</v>
      </c>
      <c r="F172" t="n">
        <v>98</v>
      </c>
      <c r="G172">
        <f>IF(AND(F172&gt;5000,D172&lt;&gt;"East"),"High-Value Merchant Day","Normal")</f>
        <v/>
      </c>
    </row>
    <row r="173">
      <c r="A173" t="inlineStr">
        <is>
          <t>16_2026-01-27</t>
        </is>
      </c>
      <c r="B173" t="n">
        <v>16</v>
      </c>
      <c r="C173" t="inlineStr">
        <is>
          <t>Merchant_016</t>
        </is>
      </c>
      <c r="D173" t="inlineStr">
        <is>
          <t>West</t>
        </is>
      </c>
      <c r="E173" s="5" t="n">
        <v>46049</v>
      </c>
      <c r="F173" t="n">
        <v>348</v>
      </c>
      <c r="G173">
        <f>IF(AND(F173&gt;5000,D173&lt;&gt;"East"),"High-Value Merchant Day","Normal")</f>
        <v/>
      </c>
    </row>
    <row r="174">
      <c r="A174" t="inlineStr">
        <is>
          <t>16_2026-01-28</t>
        </is>
      </c>
      <c r="B174" t="n">
        <v>16</v>
      </c>
      <c r="C174" t="inlineStr">
        <is>
          <t>Merchant_016</t>
        </is>
      </c>
      <c r="D174" t="inlineStr">
        <is>
          <t>West</t>
        </is>
      </c>
      <c r="E174" s="5" t="n">
        <v>46050</v>
      </c>
      <c r="F174" t="n">
        <v>49</v>
      </c>
      <c r="G174">
        <f>IF(AND(F174&gt;5000,D174&lt;&gt;"East"),"High-Value Merchant Day","Normal")</f>
        <v/>
      </c>
    </row>
    <row r="175">
      <c r="A175" t="inlineStr">
        <is>
          <t>16_2026-01-29</t>
        </is>
      </c>
      <c r="B175" t="n">
        <v>16</v>
      </c>
      <c r="C175" t="inlineStr">
        <is>
          <t>Merchant_016</t>
        </is>
      </c>
      <c r="D175" t="inlineStr">
        <is>
          <t>West</t>
        </is>
      </c>
      <c r="E175" s="5" t="n">
        <v>46051</v>
      </c>
      <c r="F175" t="n">
        <v>2999</v>
      </c>
      <c r="G175">
        <f>IF(AND(F175&gt;5000,D175&lt;&gt;"East"),"High-Value Merchant Day","Normal")</f>
        <v/>
      </c>
    </row>
    <row r="176">
      <c r="A176" t="inlineStr">
        <is>
          <t>16_2026-01-30</t>
        </is>
      </c>
      <c r="B176" t="n">
        <v>16</v>
      </c>
      <c r="C176" t="inlineStr">
        <is>
          <t>Merchant_016</t>
        </is>
      </c>
      <c r="D176" t="inlineStr">
        <is>
          <t>West</t>
        </is>
      </c>
      <c r="E176" s="5" t="n">
        <v>46052</v>
      </c>
      <c r="F176" t="n">
        <v>898</v>
      </c>
      <c r="G176">
        <f>IF(AND(F176&gt;5000,D176&lt;&gt;"East"),"High-Value Merchant Day","Normal")</f>
        <v/>
      </c>
    </row>
    <row r="177">
      <c r="A177" t="inlineStr">
        <is>
          <t>17_2026-01-01</t>
        </is>
      </c>
      <c r="B177" t="n">
        <v>17</v>
      </c>
      <c r="C177" t="inlineStr">
        <is>
          <t>Merchant_017</t>
        </is>
      </c>
      <c r="D177" t="inlineStr">
        <is>
          <t>North</t>
        </is>
      </c>
      <c r="E177" s="5" t="n">
        <v>46023</v>
      </c>
      <c r="F177" t="n">
        <v>1499</v>
      </c>
      <c r="G177">
        <f>IF(AND(F177&gt;5000,D177&lt;&gt;"East"),"High-Value Merchant Day","Normal")</f>
        <v/>
      </c>
    </row>
    <row r="178">
      <c r="A178" t="inlineStr">
        <is>
          <t>17_2026-01-02</t>
        </is>
      </c>
      <c r="B178" t="n">
        <v>17</v>
      </c>
      <c r="C178" t="inlineStr">
        <is>
          <t>Merchant_017</t>
        </is>
      </c>
      <c r="D178" t="inlineStr">
        <is>
          <t>North</t>
        </is>
      </c>
      <c r="E178" s="5" t="n">
        <v>46024</v>
      </c>
      <c r="F178" t="n">
        <v>299</v>
      </c>
      <c r="G178">
        <f>IF(AND(F178&gt;5000,D178&lt;&gt;"East"),"High-Value Merchant Day","Normal")</f>
        <v/>
      </c>
    </row>
    <row r="179">
      <c r="A179" t="inlineStr">
        <is>
          <t>17_2026-01-03</t>
        </is>
      </c>
      <c r="B179" t="n">
        <v>17</v>
      </c>
      <c r="C179" t="inlineStr">
        <is>
          <t>Merchant_017</t>
        </is>
      </c>
      <c r="D179" t="inlineStr">
        <is>
          <t>North</t>
        </is>
      </c>
      <c r="E179" s="5" t="n">
        <v>46025</v>
      </c>
      <c r="F179" t="n">
        <v>398</v>
      </c>
      <c r="G179">
        <f>IF(AND(F179&gt;5000,D179&lt;&gt;"East"),"High-Value Merchant Day","Normal")</f>
        <v/>
      </c>
    </row>
    <row r="180">
      <c r="A180" t="inlineStr">
        <is>
          <t>17_2026-01-11</t>
        </is>
      </c>
      <c r="B180" t="n">
        <v>17</v>
      </c>
      <c r="C180" t="inlineStr">
        <is>
          <t>Merchant_017</t>
        </is>
      </c>
      <c r="D180" t="inlineStr">
        <is>
          <t>North</t>
        </is>
      </c>
      <c r="E180" s="5" t="n">
        <v>46033</v>
      </c>
      <c r="F180" t="n">
        <v>7998</v>
      </c>
      <c r="G180">
        <f>IF(AND(F180&gt;5000,D180&lt;&gt;"East"),"High-Value Merchant Day","Normal")</f>
        <v/>
      </c>
    </row>
    <row r="181">
      <c r="A181" t="inlineStr">
        <is>
          <t>17_2026-01-12</t>
        </is>
      </c>
      <c r="B181" t="n">
        <v>17</v>
      </c>
      <c r="C181" t="inlineStr">
        <is>
          <t>Merchant_017</t>
        </is>
      </c>
      <c r="D181" t="inlineStr">
        <is>
          <t>North</t>
        </is>
      </c>
      <c r="E181" s="5" t="n">
        <v>46034</v>
      </c>
      <c r="F181" t="n">
        <v>1499</v>
      </c>
      <c r="G181">
        <f>IF(AND(F181&gt;5000,D181&lt;&gt;"East"),"High-Value Merchant Day","Normal")</f>
        <v/>
      </c>
    </row>
    <row r="182">
      <c r="A182" t="inlineStr">
        <is>
          <t>17_2026-01-17</t>
        </is>
      </c>
      <c r="B182" t="n">
        <v>17</v>
      </c>
      <c r="C182" t="inlineStr">
        <is>
          <t>Merchant_017</t>
        </is>
      </c>
      <c r="D182" t="inlineStr">
        <is>
          <t>North</t>
        </is>
      </c>
      <c r="E182" s="5" t="n">
        <v>46039</v>
      </c>
      <c r="F182" t="n">
        <v>299</v>
      </c>
      <c r="G182">
        <f>IF(AND(F182&gt;5000,D182&lt;&gt;"East"),"High-Value Merchant Day","Normal")</f>
        <v/>
      </c>
    </row>
    <row r="183">
      <c r="A183" t="inlineStr">
        <is>
          <t>17_2026-01-18</t>
        </is>
      </c>
      <c r="B183" t="n">
        <v>17</v>
      </c>
      <c r="C183" t="inlineStr">
        <is>
          <t>Merchant_017</t>
        </is>
      </c>
      <c r="D183" t="inlineStr">
        <is>
          <t>North</t>
        </is>
      </c>
      <c r="E183" s="5" t="n">
        <v>46040</v>
      </c>
      <c r="F183" t="n">
        <v>198</v>
      </c>
      <c r="G183">
        <f>IF(AND(F183&gt;5000,D183&lt;&gt;"East"),"High-Value Merchant Day","Normal")</f>
        <v/>
      </c>
    </row>
    <row r="184">
      <c r="A184" t="inlineStr">
        <is>
          <t>17_2026-01-19</t>
        </is>
      </c>
      <c r="B184" t="n">
        <v>17</v>
      </c>
      <c r="C184" t="inlineStr">
        <is>
          <t>Merchant_017</t>
        </is>
      </c>
      <c r="D184" t="inlineStr">
        <is>
          <t>North</t>
        </is>
      </c>
      <c r="E184" s="5" t="n">
        <v>46041</v>
      </c>
      <c r="F184" t="n">
        <v>49</v>
      </c>
      <c r="G184">
        <f>IF(AND(F184&gt;5000,D184&lt;&gt;"East"),"High-Value Merchant Day","Normal")</f>
        <v/>
      </c>
    </row>
    <row r="185">
      <c r="A185" t="inlineStr">
        <is>
          <t>17_2026-01-28</t>
        </is>
      </c>
      <c r="B185" t="n">
        <v>17</v>
      </c>
      <c r="C185" t="inlineStr">
        <is>
          <t>Merchant_017</t>
        </is>
      </c>
      <c r="D185" t="inlineStr">
        <is>
          <t>North</t>
        </is>
      </c>
      <c r="E185" s="5" t="n">
        <v>46050</v>
      </c>
      <c r="F185" t="n">
        <v>299</v>
      </c>
      <c r="G185">
        <f>IF(AND(F185&gt;5000,D185&lt;&gt;"East"),"High-Value Merchant Day","Normal")</f>
        <v/>
      </c>
    </row>
    <row r="186">
      <c r="A186" t="inlineStr">
        <is>
          <t>17_2026-01-30</t>
        </is>
      </c>
      <c r="B186" t="n">
        <v>17</v>
      </c>
      <c r="C186" t="inlineStr">
        <is>
          <t>Merchant_017</t>
        </is>
      </c>
      <c r="D186" t="inlineStr">
        <is>
          <t>North</t>
        </is>
      </c>
      <c r="E186" s="5" t="n">
        <v>46052</v>
      </c>
      <c r="F186" t="n">
        <v>499</v>
      </c>
      <c r="G186">
        <f>IF(AND(F186&gt;5000,D186&lt;&gt;"East"),"High-Value Merchant Day","Normal")</f>
        <v/>
      </c>
    </row>
    <row r="187">
      <c r="A187" t="inlineStr">
        <is>
          <t>18_2026-01-06</t>
        </is>
      </c>
      <c r="B187" t="n">
        <v>18</v>
      </c>
      <c r="C187" t="inlineStr">
        <is>
          <t>Merchant_018</t>
        </is>
      </c>
      <c r="D187" t="inlineStr">
        <is>
          <t>West</t>
        </is>
      </c>
      <c r="E187" s="5" t="n">
        <v>46028</v>
      </c>
      <c r="F187" t="n">
        <v>499</v>
      </c>
      <c r="G187">
        <f>IF(AND(F187&gt;5000,D187&lt;&gt;"East"),"High-Value Merchant Day","Normal")</f>
        <v/>
      </c>
    </row>
    <row r="188">
      <c r="A188" t="inlineStr">
        <is>
          <t>18_2026-01-11</t>
        </is>
      </c>
      <c r="B188" t="n">
        <v>18</v>
      </c>
      <c r="C188" t="inlineStr">
        <is>
          <t>Merchant_018</t>
        </is>
      </c>
      <c r="D188" t="inlineStr">
        <is>
          <t>West</t>
        </is>
      </c>
      <c r="E188" s="5" t="n">
        <v>46033</v>
      </c>
      <c r="F188" t="n">
        <v>799</v>
      </c>
      <c r="G188">
        <f>IF(AND(F188&gt;5000,D188&lt;&gt;"East"),"High-Value Merchant Day","Normal")</f>
        <v/>
      </c>
    </row>
    <row r="189">
      <c r="A189" t="inlineStr">
        <is>
          <t>18_2026-01-12</t>
        </is>
      </c>
      <c r="B189" t="n">
        <v>18</v>
      </c>
      <c r="C189" t="inlineStr">
        <is>
          <t>Merchant_018</t>
        </is>
      </c>
      <c r="D189" t="inlineStr">
        <is>
          <t>West</t>
        </is>
      </c>
      <c r="E189" s="5" t="n">
        <v>46034</v>
      </c>
      <c r="F189" t="n">
        <v>49</v>
      </c>
      <c r="G189">
        <f>IF(AND(F189&gt;5000,D189&lt;&gt;"East"),"High-Value Merchant Day","Normal")</f>
        <v/>
      </c>
    </row>
    <row r="190">
      <c r="A190" t="inlineStr">
        <is>
          <t>18_2026-01-14</t>
        </is>
      </c>
      <c r="B190" t="n">
        <v>18</v>
      </c>
      <c r="C190" t="inlineStr">
        <is>
          <t>Merchant_018</t>
        </is>
      </c>
      <c r="D190" t="inlineStr">
        <is>
          <t>West</t>
        </is>
      </c>
      <c r="E190" s="5" t="n">
        <v>46036</v>
      </c>
      <c r="F190" t="n">
        <v>149</v>
      </c>
      <c r="G190">
        <f>IF(AND(F190&gt;5000,D190&lt;&gt;"East"),"High-Value Merchant Day","Normal")</f>
        <v/>
      </c>
    </row>
    <row r="191">
      <c r="A191" t="inlineStr">
        <is>
          <t>18_2026-01-15</t>
        </is>
      </c>
      <c r="B191" t="n">
        <v>18</v>
      </c>
      <c r="C191" t="inlineStr">
        <is>
          <t>Merchant_018</t>
        </is>
      </c>
      <c r="D191" t="inlineStr">
        <is>
          <t>West</t>
        </is>
      </c>
      <c r="E191" s="5" t="n">
        <v>46037</v>
      </c>
      <c r="F191" t="n">
        <v>149</v>
      </c>
      <c r="G191">
        <f>IF(AND(F191&gt;5000,D191&lt;&gt;"East"),"High-Value Merchant Day","Normal")</f>
        <v/>
      </c>
    </row>
    <row r="192">
      <c r="A192" t="inlineStr">
        <is>
          <t>18_2026-01-16</t>
        </is>
      </c>
      <c r="B192" t="n">
        <v>18</v>
      </c>
      <c r="C192" t="inlineStr">
        <is>
          <t>Merchant_018</t>
        </is>
      </c>
      <c r="D192" t="inlineStr">
        <is>
          <t>West</t>
        </is>
      </c>
      <c r="E192" s="5" t="n">
        <v>46038</v>
      </c>
      <c r="F192" t="n">
        <v>3148</v>
      </c>
      <c r="G192">
        <f>IF(AND(F192&gt;5000,D192&lt;&gt;"East"),"High-Value Merchant Day","Normal")</f>
        <v/>
      </c>
    </row>
    <row r="193">
      <c r="A193" t="inlineStr">
        <is>
          <t>18_2026-01-18</t>
        </is>
      </c>
      <c r="B193" t="n">
        <v>18</v>
      </c>
      <c r="C193" t="inlineStr">
        <is>
          <t>Merchant_018</t>
        </is>
      </c>
      <c r="D193" t="inlineStr">
        <is>
          <t>West</t>
        </is>
      </c>
      <c r="E193" s="5" t="n">
        <v>46040</v>
      </c>
      <c r="F193" t="n">
        <v>499</v>
      </c>
      <c r="G193">
        <f>IF(AND(F193&gt;5000,D193&lt;&gt;"East"),"High-Value Merchant Day","Normal")</f>
        <v/>
      </c>
    </row>
    <row r="194">
      <c r="A194" t="inlineStr">
        <is>
          <t>18_2026-01-20</t>
        </is>
      </c>
      <c r="B194" t="n">
        <v>18</v>
      </c>
      <c r="C194" t="inlineStr">
        <is>
          <t>Merchant_018</t>
        </is>
      </c>
      <c r="D194" t="inlineStr">
        <is>
          <t>West</t>
        </is>
      </c>
      <c r="E194" s="5" t="n">
        <v>46042</v>
      </c>
      <c r="F194" t="n">
        <v>149</v>
      </c>
      <c r="G194">
        <f>IF(AND(F194&gt;5000,D194&lt;&gt;"East"),"High-Value Merchant Day","Normal")</f>
        <v/>
      </c>
    </row>
    <row r="195">
      <c r="A195" t="inlineStr">
        <is>
          <t>18_2026-01-25</t>
        </is>
      </c>
      <c r="B195" t="n">
        <v>18</v>
      </c>
      <c r="C195" t="inlineStr">
        <is>
          <t>Merchant_018</t>
        </is>
      </c>
      <c r="D195" t="inlineStr">
        <is>
          <t>West</t>
        </is>
      </c>
      <c r="E195" s="5" t="n">
        <v>46047</v>
      </c>
      <c r="F195" t="n">
        <v>1648</v>
      </c>
      <c r="G195">
        <f>IF(AND(F195&gt;5000,D195&lt;&gt;"East"),"High-Value Merchant Day","Normal")</f>
        <v/>
      </c>
    </row>
    <row r="196">
      <c r="A196" t="inlineStr">
        <is>
          <t>19_2026-01-02</t>
        </is>
      </c>
      <c r="B196" t="n">
        <v>19</v>
      </c>
      <c r="C196" t="inlineStr">
        <is>
          <t>Merchant_019</t>
        </is>
      </c>
      <c r="D196" t="inlineStr">
        <is>
          <t>North</t>
        </is>
      </c>
      <c r="E196" s="5" t="n">
        <v>46024</v>
      </c>
      <c r="F196" t="n">
        <v>149</v>
      </c>
      <c r="G196">
        <f>IF(AND(F196&gt;5000,D196&lt;&gt;"East"),"High-Value Merchant Day","Normal")</f>
        <v/>
      </c>
    </row>
    <row r="197">
      <c r="A197" t="inlineStr">
        <is>
          <t>19_2026-01-06</t>
        </is>
      </c>
      <c r="B197" t="n">
        <v>19</v>
      </c>
      <c r="C197" t="inlineStr">
        <is>
          <t>Merchant_019</t>
        </is>
      </c>
      <c r="D197" t="inlineStr">
        <is>
          <t>North</t>
        </is>
      </c>
      <c r="E197" s="5" t="n">
        <v>46028</v>
      </c>
      <c r="F197" t="n">
        <v>499</v>
      </c>
      <c r="G197">
        <f>IF(AND(F197&gt;5000,D197&lt;&gt;"East"),"High-Value Merchant Day","Normal")</f>
        <v/>
      </c>
    </row>
    <row r="198">
      <c r="A198" t="inlineStr">
        <is>
          <t>19_2026-01-09</t>
        </is>
      </c>
      <c r="B198" t="n">
        <v>19</v>
      </c>
      <c r="C198" t="inlineStr">
        <is>
          <t>Merchant_019</t>
        </is>
      </c>
      <c r="D198" t="inlineStr">
        <is>
          <t>North</t>
        </is>
      </c>
      <c r="E198" s="5" t="n">
        <v>46031</v>
      </c>
      <c r="F198" t="n">
        <v>99</v>
      </c>
      <c r="G198">
        <f>IF(AND(F198&gt;5000,D198&lt;&gt;"East"),"High-Value Merchant Day","Normal")</f>
        <v/>
      </c>
    </row>
    <row r="199">
      <c r="A199" t="inlineStr">
        <is>
          <t>19_2026-01-10</t>
        </is>
      </c>
      <c r="B199" t="n">
        <v>19</v>
      </c>
      <c r="C199" t="inlineStr">
        <is>
          <t>Merchant_019</t>
        </is>
      </c>
      <c r="D199" t="inlineStr">
        <is>
          <t>North</t>
        </is>
      </c>
      <c r="E199" s="5" t="n">
        <v>46032</v>
      </c>
      <c r="F199" t="n">
        <v>2999</v>
      </c>
      <c r="G199">
        <f>IF(AND(F199&gt;5000,D199&lt;&gt;"East"),"High-Value Merchant Day","Normal")</f>
        <v/>
      </c>
    </row>
    <row r="200">
      <c r="A200" t="inlineStr">
        <is>
          <t>19_2026-01-15</t>
        </is>
      </c>
      <c r="B200" t="n">
        <v>19</v>
      </c>
      <c r="C200" t="inlineStr">
        <is>
          <t>Merchant_019</t>
        </is>
      </c>
      <c r="D200" t="inlineStr">
        <is>
          <t>North</t>
        </is>
      </c>
      <c r="E200" s="5" t="n">
        <v>46037</v>
      </c>
      <c r="F200" t="n">
        <v>398</v>
      </c>
      <c r="G200">
        <f>IF(AND(F200&gt;5000,D200&lt;&gt;"East"),"High-Value Merchant Day","Normal")</f>
        <v/>
      </c>
    </row>
    <row r="201">
      <c r="A201" t="inlineStr">
        <is>
          <t>19_2026-01-16</t>
        </is>
      </c>
      <c r="B201" t="n">
        <v>19</v>
      </c>
      <c r="C201" t="inlineStr">
        <is>
          <t>Merchant_019</t>
        </is>
      </c>
      <c r="D201" t="inlineStr">
        <is>
          <t>North</t>
        </is>
      </c>
      <c r="E201" s="5" t="n">
        <v>46038</v>
      </c>
      <c r="F201" t="n">
        <v>4999</v>
      </c>
      <c r="G201">
        <f>IF(AND(F201&gt;5000,D201&lt;&gt;"East"),"High-Value Merchant Day","Normal")</f>
        <v/>
      </c>
    </row>
    <row r="202">
      <c r="A202" t="inlineStr">
        <is>
          <t>19_2026-01-19</t>
        </is>
      </c>
      <c r="B202" t="n">
        <v>19</v>
      </c>
      <c r="C202" t="inlineStr">
        <is>
          <t>Merchant_019</t>
        </is>
      </c>
      <c r="D202" t="inlineStr">
        <is>
          <t>North</t>
        </is>
      </c>
      <c r="E202" s="5" t="n">
        <v>46041</v>
      </c>
      <c r="F202" t="n">
        <v>99</v>
      </c>
      <c r="G202">
        <f>IF(AND(F202&gt;5000,D202&lt;&gt;"East"),"High-Value Merchant Day","Normal")</f>
        <v/>
      </c>
    </row>
    <row r="203">
      <c r="A203" t="inlineStr">
        <is>
          <t>19_2026-01-20</t>
        </is>
      </c>
      <c r="B203" t="n">
        <v>19</v>
      </c>
      <c r="C203" t="inlineStr">
        <is>
          <t>Merchant_019</t>
        </is>
      </c>
      <c r="D203" t="inlineStr">
        <is>
          <t>North</t>
        </is>
      </c>
      <c r="E203" s="5" t="n">
        <v>46042</v>
      </c>
      <c r="F203" t="n">
        <v>348</v>
      </c>
      <c r="G203">
        <f>IF(AND(F203&gt;5000,D203&lt;&gt;"East"),"High-Value Merchant Day","Normal")</f>
        <v/>
      </c>
    </row>
    <row r="204">
      <c r="A204" t="inlineStr">
        <is>
          <t>19_2026-01-22</t>
        </is>
      </c>
      <c r="B204" t="n">
        <v>19</v>
      </c>
      <c r="C204" t="inlineStr">
        <is>
          <t>Merchant_019</t>
        </is>
      </c>
      <c r="D204" t="inlineStr">
        <is>
          <t>North</t>
        </is>
      </c>
      <c r="E204" s="5" t="n">
        <v>46044</v>
      </c>
      <c r="F204" t="n">
        <v>2999</v>
      </c>
      <c r="G204">
        <f>IF(AND(F204&gt;5000,D204&lt;&gt;"East"),"High-Value Merchant Day","Normal")</f>
        <v/>
      </c>
    </row>
    <row r="205">
      <c r="A205" t="inlineStr">
        <is>
          <t>19_2026-01-24</t>
        </is>
      </c>
      <c r="B205" t="n">
        <v>19</v>
      </c>
      <c r="C205" t="inlineStr">
        <is>
          <t>Merchant_019</t>
        </is>
      </c>
      <c r="D205" t="inlineStr">
        <is>
          <t>North</t>
        </is>
      </c>
      <c r="E205" s="5" t="n">
        <v>46046</v>
      </c>
      <c r="F205" t="n">
        <v>149</v>
      </c>
      <c r="G205">
        <f>IF(AND(F205&gt;5000,D205&lt;&gt;"East"),"High-Value Merchant Day","Normal")</f>
        <v/>
      </c>
    </row>
    <row r="206">
      <c r="A206" t="inlineStr">
        <is>
          <t>19_2026-01-25</t>
        </is>
      </c>
      <c r="B206" t="n">
        <v>19</v>
      </c>
      <c r="C206" t="inlineStr">
        <is>
          <t>Merchant_019</t>
        </is>
      </c>
      <c r="D206" t="inlineStr">
        <is>
          <t>North</t>
        </is>
      </c>
      <c r="E206" s="5" t="n">
        <v>46047</v>
      </c>
      <c r="F206" t="n">
        <v>49</v>
      </c>
      <c r="G206">
        <f>IF(AND(F206&gt;5000,D206&lt;&gt;"East"),"High-Value Merchant Day","Normal")</f>
        <v/>
      </c>
    </row>
    <row r="207">
      <c r="A207" t="inlineStr">
        <is>
          <t>19_2026-01-26</t>
        </is>
      </c>
      <c r="B207" t="n">
        <v>19</v>
      </c>
      <c r="C207" t="inlineStr">
        <is>
          <t>Merchant_019</t>
        </is>
      </c>
      <c r="D207" t="inlineStr">
        <is>
          <t>North</t>
        </is>
      </c>
      <c r="E207" s="5" t="n">
        <v>46048</v>
      </c>
      <c r="F207" t="n">
        <v>49</v>
      </c>
      <c r="G207">
        <f>IF(AND(F207&gt;5000,D207&lt;&gt;"East"),"High-Value Merchant Day","Normal")</f>
        <v/>
      </c>
    </row>
    <row r="208">
      <c r="A208" t="inlineStr">
        <is>
          <t>20_2026-01-02</t>
        </is>
      </c>
      <c r="B208" t="n">
        <v>20</v>
      </c>
      <c r="C208" t="inlineStr">
        <is>
          <t>Merchant_020</t>
        </is>
      </c>
      <c r="D208" t="inlineStr">
        <is>
          <t>East</t>
        </is>
      </c>
      <c r="E208" s="5" t="n">
        <v>46024</v>
      </c>
      <c r="F208" t="n">
        <v>49</v>
      </c>
      <c r="G208">
        <f>IF(AND(F208&gt;5000,D208&lt;&gt;"East"),"High-Value Merchant Day","Normal")</f>
        <v/>
      </c>
    </row>
    <row r="209">
      <c r="A209" t="inlineStr">
        <is>
          <t>20_2026-01-03</t>
        </is>
      </c>
      <c r="B209" t="n">
        <v>20</v>
      </c>
      <c r="C209" t="inlineStr">
        <is>
          <t>Merchant_020</t>
        </is>
      </c>
      <c r="D209" t="inlineStr">
        <is>
          <t>East</t>
        </is>
      </c>
      <c r="E209" s="5" t="n">
        <v>46025</v>
      </c>
      <c r="F209" t="n">
        <v>348</v>
      </c>
      <c r="G209">
        <f>IF(AND(F209&gt;5000,D209&lt;&gt;"East"),"High-Value Merchant Day","Normal")</f>
        <v/>
      </c>
    </row>
    <row r="210">
      <c r="A210" t="inlineStr">
        <is>
          <t>20_2026-01-04</t>
        </is>
      </c>
      <c r="B210" t="n">
        <v>20</v>
      </c>
      <c r="C210" t="inlineStr">
        <is>
          <t>Merchant_020</t>
        </is>
      </c>
      <c r="D210" t="inlineStr">
        <is>
          <t>East</t>
        </is>
      </c>
      <c r="E210" s="5" t="n">
        <v>46026</v>
      </c>
      <c r="F210" t="n">
        <v>2999</v>
      </c>
      <c r="G210">
        <f>IF(AND(F210&gt;5000,D210&lt;&gt;"East"),"High-Value Merchant Day","Normal")</f>
        <v/>
      </c>
    </row>
    <row r="211">
      <c r="A211" t="inlineStr">
        <is>
          <t>20_2026-01-10</t>
        </is>
      </c>
      <c r="B211" t="n">
        <v>20</v>
      </c>
      <c r="C211" t="inlineStr">
        <is>
          <t>Merchant_020</t>
        </is>
      </c>
      <c r="D211" t="inlineStr">
        <is>
          <t>East</t>
        </is>
      </c>
      <c r="E211" s="5" t="n">
        <v>46032</v>
      </c>
      <c r="F211" t="n">
        <v>149</v>
      </c>
      <c r="G211">
        <f>IF(AND(F211&gt;5000,D211&lt;&gt;"East"),"High-Value Merchant Day","Normal")</f>
        <v/>
      </c>
    </row>
    <row r="212">
      <c r="A212" t="inlineStr">
        <is>
          <t>20_2026-01-21</t>
        </is>
      </c>
      <c r="B212" t="n">
        <v>20</v>
      </c>
      <c r="C212" t="inlineStr">
        <is>
          <t>Merchant_020</t>
        </is>
      </c>
      <c r="D212" t="inlineStr">
        <is>
          <t>East</t>
        </is>
      </c>
      <c r="E212" s="5" t="n">
        <v>46043</v>
      </c>
      <c r="F212" t="n">
        <v>99</v>
      </c>
      <c r="G212">
        <f>IF(AND(F212&gt;5000,D212&lt;&gt;"East"),"High-Value Merchant Day","Normal")</f>
        <v/>
      </c>
    </row>
    <row r="213">
      <c r="A213" t="inlineStr">
        <is>
          <t>20_2026-01-23</t>
        </is>
      </c>
      <c r="B213" t="n">
        <v>20</v>
      </c>
      <c r="C213" t="inlineStr">
        <is>
          <t>Merchant_020</t>
        </is>
      </c>
      <c r="D213" t="inlineStr">
        <is>
          <t>East</t>
        </is>
      </c>
      <c r="E213" s="5" t="n">
        <v>46045</v>
      </c>
      <c r="F213" t="n">
        <v>49</v>
      </c>
      <c r="G213">
        <f>IF(AND(F213&gt;5000,D213&lt;&gt;"East"),"High-Value Merchant Day","Normal")</f>
        <v/>
      </c>
    </row>
    <row r="214">
      <c r="A214" t="inlineStr">
        <is>
          <t>20_2026-01-24</t>
        </is>
      </c>
      <c r="B214" t="n">
        <v>20</v>
      </c>
      <c r="C214" t="inlineStr">
        <is>
          <t>Merchant_020</t>
        </is>
      </c>
      <c r="D214" t="inlineStr">
        <is>
          <t>East</t>
        </is>
      </c>
      <c r="E214" s="5" t="n">
        <v>46046</v>
      </c>
      <c r="F214" t="n">
        <v>49</v>
      </c>
      <c r="G214">
        <f>IF(AND(F214&gt;5000,D214&lt;&gt;"East"),"High-Value Merchant Day","Normal")</f>
        <v/>
      </c>
    </row>
    <row r="215">
      <c r="A215" t="inlineStr">
        <is>
          <t>20_2026-01-29</t>
        </is>
      </c>
      <c r="B215" t="n">
        <v>20</v>
      </c>
      <c r="C215" t="inlineStr">
        <is>
          <t>Merchant_020</t>
        </is>
      </c>
      <c r="D215" t="inlineStr">
        <is>
          <t>East</t>
        </is>
      </c>
      <c r="E215" s="5" t="n">
        <v>46051</v>
      </c>
      <c r="F215" t="n">
        <v>499</v>
      </c>
      <c r="G215">
        <f>IF(AND(F215&gt;5000,D215&lt;&gt;"East"),"High-Value Merchant Day","Normal")</f>
        <v/>
      </c>
    </row>
    <row r="216">
      <c r="A216" t="inlineStr">
        <is>
          <t>21_2026-01-01</t>
        </is>
      </c>
      <c r="B216" t="n">
        <v>21</v>
      </c>
      <c r="C216" t="inlineStr">
        <is>
          <t>Merchant_021</t>
        </is>
      </c>
      <c r="D216" t="inlineStr">
        <is>
          <t>East</t>
        </is>
      </c>
      <c r="E216" s="5" t="n">
        <v>46023</v>
      </c>
      <c r="F216" t="n">
        <v>5298</v>
      </c>
      <c r="G216">
        <f>IF(AND(F216&gt;5000,D216&lt;&gt;"East"),"High-Value Merchant Day","Normal")</f>
        <v/>
      </c>
    </row>
    <row r="217">
      <c r="A217" t="inlineStr">
        <is>
          <t>21_2026-01-05</t>
        </is>
      </c>
      <c r="B217" t="n">
        <v>21</v>
      </c>
      <c r="C217" t="inlineStr">
        <is>
          <t>Merchant_021</t>
        </is>
      </c>
      <c r="D217" t="inlineStr">
        <is>
          <t>East</t>
        </is>
      </c>
      <c r="E217" s="5" t="n">
        <v>46027</v>
      </c>
      <c r="F217" t="n">
        <v>499</v>
      </c>
      <c r="G217">
        <f>IF(AND(F217&gt;5000,D217&lt;&gt;"East"),"High-Value Merchant Day","Normal")</f>
        <v/>
      </c>
    </row>
    <row r="218">
      <c r="A218" t="inlineStr">
        <is>
          <t>21_2026-01-09</t>
        </is>
      </c>
      <c r="B218" t="n">
        <v>21</v>
      </c>
      <c r="C218" t="inlineStr">
        <is>
          <t>Merchant_021</t>
        </is>
      </c>
      <c r="D218" t="inlineStr">
        <is>
          <t>East</t>
        </is>
      </c>
      <c r="E218" s="5" t="n">
        <v>46031</v>
      </c>
      <c r="F218" t="n">
        <v>499</v>
      </c>
      <c r="G218">
        <f>IF(AND(F218&gt;5000,D218&lt;&gt;"East"),"High-Value Merchant Day","Normal")</f>
        <v/>
      </c>
    </row>
    <row r="219">
      <c r="A219" t="inlineStr">
        <is>
          <t>21_2026-01-14</t>
        </is>
      </c>
      <c r="B219" t="n">
        <v>21</v>
      </c>
      <c r="C219" t="inlineStr">
        <is>
          <t>Merchant_021</t>
        </is>
      </c>
      <c r="D219" t="inlineStr">
        <is>
          <t>East</t>
        </is>
      </c>
      <c r="E219" s="5" t="n">
        <v>46036</v>
      </c>
      <c r="F219" t="n">
        <v>49</v>
      </c>
      <c r="G219">
        <f>IF(AND(F219&gt;5000,D219&lt;&gt;"East"),"High-Value Merchant Day","Normal")</f>
        <v/>
      </c>
    </row>
    <row r="220">
      <c r="A220" t="inlineStr">
        <is>
          <t>21_2026-01-15</t>
        </is>
      </c>
      <c r="B220" t="n">
        <v>21</v>
      </c>
      <c r="C220" t="inlineStr">
        <is>
          <t>Merchant_021</t>
        </is>
      </c>
      <c r="D220" t="inlineStr">
        <is>
          <t>East</t>
        </is>
      </c>
      <c r="E220" s="5" t="n">
        <v>46037</v>
      </c>
      <c r="F220" t="n">
        <v>299</v>
      </c>
      <c r="G220">
        <f>IF(AND(F220&gt;5000,D220&lt;&gt;"East"),"High-Value Merchant Day","Normal")</f>
        <v/>
      </c>
    </row>
    <row r="221">
      <c r="A221" t="inlineStr">
        <is>
          <t>21_2026-01-16</t>
        </is>
      </c>
      <c r="B221" t="n">
        <v>21</v>
      </c>
      <c r="C221" t="inlineStr">
        <is>
          <t>Merchant_021</t>
        </is>
      </c>
      <c r="D221" t="inlineStr">
        <is>
          <t>East</t>
        </is>
      </c>
      <c r="E221" s="5" t="n">
        <v>46038</v>
      </c>
      <c r="F221" t="n">
        <v>799</v>
      </c>
      <c r="G221">
        <f>IF(AND(F221&gt;5000,D221&lt;&gt;"East"),"High-Value Merchant Day","Normal")</f>
        <v/>
      </c>
    </row>
    <row r="222">
      <c r="A222" t="inlineStr">
        <is>
          <t>21_2026-01-18</t>
        </is>
      </c>
      <c r="B222" t="n">
        <v>21</v>
      </c>
      <c r="C222" t="inlineStr">
        <is>
          <t>Merchant_021</t>
        </is>
      </c>
      <c r="D222" t="inlineStr">
        <is>
          <t>East</t>
        </is>
      </c>
      <c r="E222" s="5" t="n">
        <v>46040</v>
      </c>
      <c r="F222" t="n">
        <v>799</v>
      </c>
      <c r="G222">
        <f>IF(AND(F222&gt;5000,D222&lt;&gt;"East"),"High-Value Merchant Day","Normal")</f>
        <v/>
      </c>
    </row>
    <row r="223">
      <c r="A223" t="inlineStr">
        <is>
          <t>21_2026-01-19</t>
        </is>
      </c>
      <c r="B223" t="n">
        <v>21</v>
      </c>
      <c r="C223" t="inlineStr">
        <is>
          <t>Merchant_021</t>
        </is>
      </c>
      <c r="D223" t="inlineStr">
        <is>
          <t>East</t>
        </is>
      </c>
      <c r="E223" s="5" t="n">
        <v>46041</v>
      </c>
      <c r="F223" t="n">
        <v>99</v>
      </c>
      <c r="G223">
        <f>IF(AND(F223&gt;5000,D223&lt;&gt;"East"),"High-Value Merchant Day","Normal")</f>
        <v/>
      </c>
    </row>
    <row r="224">
      <c r="A224" t="inlineStr">
        <is>
          <t>21_2026-01-20</t>
        </is>
      </c>
      <c r="B224" t="n">
        <v>21</v>
      </c>
      <c r="C224" t="inlineStr">
        <is>
          <t>Merchant_021</t>
        </is>
      </c>
      <c r="D224" t="inlineStr">
        <is>
          <t>East</t>
        </is>
      </c>
      <c r="E224" s="5" t="n">
        <v>46042</v>
      </c>
      <c r="F224" t="n">
        <v>49</v>
      </c>
      <c r="G224">
        <f>IF(AND(F224&gt;5000,D224&lt;&gt;"East"),"High-Value Merchant Day","Normal")</f>
        <v/>
      </c>
    </row>
    <row r="225">
      <c r="A225" t="inlineStr">
        <is>
          <t>21_2026-01-21</t>
        </is>
      </c>
      <c r="B225" t="n">
        <v>21</v>
      </c>
      <c r="C225" t="inlineStr">
        <is>
          <t>Merchant_021</t>
        </is>
      </c>
      <c r="D225" t="inlineStr">
        <is>
          <t>East</t>
        </is>
      </c>
      <c r="E225" s="5" t="n">
        <v>46043</v>
      </c>
      <c r="F225" t="n">
        <v>49</v>
      </c>
      <c r="G225">
        <f>IF(AND(F225&gt;5000,D225&lt;&gt;"East"),"High-Value Merchant Day","Normal")</f>
        <v/>
      </c>
    </row>
    <row r="226">
      <c r="A226" t="inlineStr">
        <is>
          <t>21_2026-01-25</t>
        </is>
      </c>
      <c r="B226" t="n">
        <v>21</v>
      </c>
      <c r="C226" t="inlineStr">
        <is>
          <t>Merchant_021</t>
        </is>
      </c>
      <c r="D226" t="inlineStr">
        <is>
          <t>East</t>
        </is>
      </c>
      <c r="E226" s="5" t="n">
        <v>46047</v>
      </c>
      <c r="F226" t="n">
        <v>299</v>
      </c>
      <c r="G226">
        <f>IF(AND(F226&gt;5000,D226&lt;&gt;"East"),"High-Value Merchant Day","Normal")</f>
        <v/>
      </c>
    </row>
    <row r="227">
      <c r="A227" t="inlineStr">
        <is>
          <t>21_2026-01-26</t>
        </is>
      </c>
      <c r="B227" t="n">
        <v>21</v>
      </c>
      <c r="C227" t="inlineStr">
        <is>
          <t>Merchant_021</t>
        </is>
      </c>
      <c r="D227" t="inlineStr">
        <is>
          <t>East</t>
        </is>
      </c>
      <c r="E227" s="5" t="n">
        <v>46048</v>
      </c>
      <c r="F227" t="n">
        <v>99</v>
      </c>
      <c r="G227">
        <f>IF(AND(F227&gt;5000,D227&lt;&gt;"East"),"High-Value Merchant Day","Normal")</f>
        <v/>
      </c>
    </row>
    <row r="228">
      <c r="A228" t="inlineStr">
        <is>
          <t>21_2026-01-27</t>
        </is>
      </c>
      <c r="B228" t="n">
        <v>21</v>
      </c>
      <c r="C228" t="inlineStr">
        <is>
          <t>Merchant_021</t>
        </is>
      </c>
      <c r="D228" t="inlineStr">
        <is>
          <t>East</t>
        </is>
      </c>
      <c r="E228" s="5" t="n">
        <v>46049</v>
      </c>
      <c r="F228" t="n">
        <v>49</v>
      </c>
      <c r="G228">
        <f>IF(AND(F228&gt;5000,D228&lt;&gt;"East"),"High-Value Merchant Day","Normal")</f>
        <v/>
      </c>
    </row>
    <row r="229">
      <c r="A229" t="inlineStr">
        <is>
          <t>22_2026-01-01</t>
        </is>
      </c>
      <c r="B229" t="n">
        <v>22</v>
      </c>
      <c r="C229" t="inlineStr">
        <is>
          <t>Merchant_022</t>
        </is>
      </c>
      <c r="D229" t="inlineStr">
        <is>
          <t>South</t>
        </is>
      </c>
      <c r="E229" s="5" t="n">
        <v>46023</v>
      </c>
      <c r="F229" t="n">
        <v>799</v>
      </c>
      <c r="G229">
        <f>IF(AND(F229&gt;5000,D229&lt;&gt;"East"),"High-Value Merchant Day","Normal")</f>
        <v/>
      </c>
    </row>
    <row r="230">
      <c r="A230" t="inlineStr">
        <is>
          <t>22_2026-01-05</t>
        </is>
      </c>
      <c r="B230" t="n">
        <v>22</v>
      </c>
      <c r="C230" t="inlineStr">
        <is>
          <t>Merchant_022</t>
        </is>
      </c>
      <c r="D230" t="inlineStr">
        <is>
          <t>South</t>
        </is>
      </c>
      <c r="E230" s="5" t="n">
        <v>46027</v>
      </c>
      <c r="F230" t="n">
        <v>448</v>
      </c>
      <c r="G230">
        <f>IF(AND(F230&gt;5000,D230&lt;&gt;"East"),"High-Value Merchant Day","Normal")</f>
        <v/>
      </c>
    </row>
    <row r="231">
      <c r="A231" t="inlineStr">
        <is>
          <t>22_2026-01-07</t>
        </is>
      </c>
      <c r="B231" t="n">
        <v>22</v>
      </c>
      <c r="C231" t="inlineStr">
        <is>
          <t>Merchant_022</t>
        </is>
      </c>
      <c r="D231" t="inlineStr">
        <is>
          <t>South</t>
        </is>
      </c>
      <c r="E231" s="5" t="n">
        <v>46029</v>
      </c>
      <c r="F231" t="n">
        <v>499</v>
      </c>
      <c r="G231">
        <f>IF(AND(F231&gt;5000,D231&lt;&gt;"East"),"High-Value Merchant Day","Normal")</f>
        <v/>
      </c>
    </row>
    <row r="232">
      <c r="A232" t="inlineStr">
        <is>
          <t>22_2026-01-10</t>
        </is>
      </c>
      <c r="B232" t="n">
        <v>22</v>
      </c>
      <c r="C232" t="inlineStr">
        <is>
          <t>Merchant_022</t>
        </is>
      </c>
      <c r="D232" t="inlineStr">
        <is>
          <t>South</t>
        </is>
      </c>
      <c r="E232" s="5" t="n">
        <v>46032</v>
      </c>
      <c r="F232" t="n">
        <v>499</v>
      </c>
      <c r="G232">
        <f>IF(AND(F232&gt;5000,D232&lt;&gt;"East"),"High-Value Merchant Day","Normal")</f>
        <v/>
      </c>
    </row>
    <row r="233">
      <c r="A233" t="inlineStr">
        <is>
          <t>22_2026-01-11</t>
        </is>
      </c>
      <c r="B233" t="n">
        <v>22</v>
      </c>
      <c r="C233" t="inlineStr">
        <is>
          <t>Merchant_022</t>
        </is>
      </c>
      <c r="D233" t="inlineStr">
        <is>
          <t>South</t>
        </is>
      </c>
      <c r="E233" s="5" t="n">
        <v>46033</v>
      </c>
      <c r="F233" t="n">
        <v>299</v>
      </c>
      <c r="G233">
        <f>IF(AND(F233&gt;5000,D233&lt;&gt;"East"),"High-Value Merchant Day","Normal")</f>
        <v/>
      </c>
    </row>
    <row r="234">
      <c r="A234" t="inlineStr">
        <is>
          <t>22_2026-01-12</t>
        </is>
      </c>
      <c r="B234" t="n">
        <v>22</v>
      </c>
      <c r="C234" t="inlineStr">
        <is>
          <t>Merchant_022</t>
        </is>
      </c>
      <c r="D234" t="inlineStr">
        <is>
          <t>South</t>
        </is>
      </c>
      <c r="E234" s="5" t="n">
        <v>46034</v>
      </c>
      <c r="F234" t="n">
        <v>1697</v>
      </c>
      <c r="G234">
        <f>IF(AND(F234&gt;5000,D234&lt;&gt;"East"),"High-Value Merchant Day","Normal")</f>
        <v/>
      </c>
    </row>
    <row r="235">
      <c r="A235" t="inlineStr">
        <is>
          <t>22_2026-01-13</t>
        </is>
      </c>
      <c r="B235" t="n">
        <v>22</v>
      </c>
      <c r="C235" t="inlineStr">
        <is>
          <t>Merchant_022</t>
        </is>
      </c>
      <c r="D235" t="inlineStr">
        <is>
          <t>South</t>
        </is>
      </c>
      <c r="E235" s="5" t="n">
        <v>46035</v>
      </c>
      <c r="F235" t="n">
        <v>5798</v>
      </c>
      <c r="G235">
        <f>IF(AND(F235&gt;5000,D235&lt;&gt;"East"),"High-Value Merchant Day","Normal")</f>
        <v/>
      </c>
    </row>
    <row r="236">
      <c r="A236" t="inlineStr">
        <is>
          <t>22_2026-01-14</t>
        </is>
      </c>
      <c r="B236" t="n">
        <v>22</v>
      </c>
      <c r="C236" t="inlineStr">
        <is>
          <t>Merchant_022</t>
        </is>
      </c>
      <c r="D236" t="inlineStr">
        <is>
          <t>South</t>
        </is>
      </c>
      <c r="E236" s="5" t="n">
        <v>46036</v>
      </c>
      <c r="F236" t="n">
        <v>799</v>
      </c>
      <c r="G236">
        <f>IF(AND(F236&gt;5000,D236&lt;&gt;"East"),"High-Value Merchant Day","Normal")</f>
        <v/>
      </c>
    </row>
    <row r="237">
      <c r="A237" t="inlineStr">
        <is>
          <t>22_2026-01-17</t>
        </is>
      </c>
      <c r="B237" t="n">
        <v>22</v>
      </c>
      <c r="C237" t="inlineStr">
        <is>
          <t>Merchant_022</t>
        </is>
      </c>
      <c r="D237" t="inlineStr">
        <is>
          <t>South</t>
        </is>
      </c>
      <c r="E237" s="5" t="n">
        <v>46039</v>
      </c>
      <c r="F237" t="n">
        <v>1598</v>
      </c>
      <c r="G237">
        <f>IF(AND(F237&gt;5000,D237&lt;&gt;"East"),"High-Value Merchant Day","Normal")</f>
        <v/>
      </c>
    </row>
    <row r="238">
      <c r="A238" t="inlineStr">
        <is>
          <t>22_2026-01-23</t>
        </is>
      </c>
      <c r="B238" t="n">
        <v>22</v>
      </c>
      <c r="C238" t="inlineStr">
        <is>
          <t>Merchant_022</t>
        </is>
      </c>
      <c r="D238" t="inlineStr">
        <is>
          <t>South</t>
        </is>
      </c>
      <c r="E238" s="5" t="n">
        <v>46045</v>
      </c>
      <c r="F238" t="n">
        <v>49</v>
      </c>
      <c r="G238">
        <f>IF(AND(F238&gt;5000,D238&lt;&gt;"East"),"High-Value Merchant Day","Normal")</f>
        <v/>
      </c>
    </row>
    <row r="239">
      <c r="A239" t="inlineStr">
        <is>
          <t>22_2026-01-29</t>
        </is>
      </c>
      <c r="B239" t="n">
        <v>22</v>
      </c>
      <c r="C239" t="inlineStr">
        <is>
          <t>Merchant_022</t>
        </is>
      </c>
      <c r="D239" t="inlineStr">
        <is>
          <t>South</t>
        </is>
      </c>
      <c r="E239" s="5" t="n">
        <v>46051</v>
      </c>
      <c r="F239" t="n">
        <v>49</v>
      </c>
      <c r="G239">
        <f>IF(AND(F239&gt;5000,D239&lt;&gt;"East"),"High-Value Merchant Day","Normal")</f>
        <v/>
      </c>
    </row>
    <row r="240">
      <c r="A240" t="inlineStr">
        <is>
          <t>23_2026-01-08</t>
        </is>
      </c>
      <c r="B240" t="n">
        <v>23</v>
      </c>
      <c r="C240" t="inlineStr">
        <is>
          <t>Merchant_023</t>
        </is>
      </c>
      <c r="D240" t="inlineStr">
        <is>
          <t>North</t>
        </is>
      </c>
      <c r="E240" s="5" t="n">
        <v>46030</v>
      </c>
      <c r="F240" t="n">
        <v>99</v>
      </c>
      <c r="G240">
        <f>IF(AND(F240&gt;5000,D240&lt;&gt;"East"),"High-Value Merchant Day","Normal")</f>
        <v/>
      </c>
    </row>
    <row r="241">
      <c r="A241" t="inlineStr">
        <is>
          <t>23_2026-01-09</t>
        </is>
      </c>
      <c r="B241" t="n">
        <v>23</v>
      </c>
      <c r="C241" t="inlineStr">
        <is>
          <t>Merchant_023</t>
        </is>
      </c>
      <c r="D241" t="inlineStr">
        <is>
          <t>North</t>
        </is>
      </c>
      <c r="E241" s="5" t="n">
        <v>46031</v>
      </c>
      <c r="F241" t="n">
        <v>399</v>
      </c>
      <c r="G241">
        <f>IF(AND(F241&gt;5000,D241&lt;&gt;"East"),"High-Value Merchant Day","Normal")</f>
        <v/>
      </c>
    </row>
    <row r="242">
      <c r="A242" t="inlineStr">
        <is>
          <t>23_2026-01-12</t>
        </is>
      </c>
      <c r="B242" t="n">
        <v>23</v>
      </c>
      <c r="C242" t="inlineStr">
        <is>
          <t>Merchant_023</t>
        </is>
      </c>
      <c r="D242" t="inlineStr">
        <is>
          <t>North</t>
        </is>
      </c>
      <c r="E242" s="5" t="n">
        <v>46034</v>
      </c>
      <c r="F242" t="n">
        <v>149</v>
      </c>
      <c r="G242">
        <f>IF(AND(F242&gt;5000,D242&lt;&gt;"East"),"High-Value Merchant Day","Normal")</f>
        <v/>
      </c>
    </row>
    <row r="243">
      <c r="A243" t="inlineStr">
        <is>
          <t>23_2026-01-17</t>
        </is>
      </c>
      <c r="B243" t="n">
        <v>23</v>
      </c>
      <c r="C243" t="inlineStr">
        <is>
          <t>Merchant_023</t>
        </is>
      </c>
      <c r="D243" t="inlineStr">
        <is>
          <t>North</t>
        </is>
      </c>
      <c r="E243" s="5" t="n">
        <v>46039</v>
      </c>
      <c r="F243" t="n">
        <v>49</v>
      </c>
      <c r="G243">
        <f>IF(AND(F243&gt;5000,D243&lt;&gt;"East"),"High-Value Merchant Day","Normal")</f>
        <v/>
      </c>
    </row>
    <row r="244">
      <c r="A244" t="inlineStr">
        <is>
          <t>23_2026-01-18</t>
        </is>
      </c>
      <c r="B244" t="n">
        <v>23</v>
      </c>
      <c r="C244" t="inlineStr">
        <is>
          <t>Merchant_023</t>
        </is>
      </c>
      <c r="D244" t="inlineStr">
        <is>
          <t>North</t>
        </is>
      </c>
      <c r="E244" s="5" t="n">
        <v>46040</v>
      </c>
      <c r="F244" t="n">
        <v>1999</v>
      </c>
      <c r="G244">
        <f>IF(AND(F244&gt;5000,D244&lt;&gt;"East"),"High-Value Merchant Day","Normal")</f>
        <v/>
      </c>
    </row>
    <row r="245">
      <c r="A245" t="inlineStr">
        <is>
          <t>23_2026-01-22</t>
        </is>
      </c>
      <c r="B245" t="n">
        <v>23</v>
      </c>
      <c r="C245" t="inlineStr">
        <is>
          <t>Merchant_023</t>
        </is>
      </c>
      <c r="D245" t="inlineStr">
        <is>
          <t>North</t>
        </is>
      </c>
      <c r="E245" s="5" t="n">
        <v>46044</v>
      </c>
      <c r="F245" t="n">
        <v>49</v>
      </c>
      <c r="G245">
        <f>IF(AND(F245&gt;5000,D245&lt;&gt;"East"),"High-Value Merchant Day","Normal")</f>
        <v/>
      </c>
    </row>
    <row r="246">
      <c r="A246" t="inlineStr">
        <is>
          <t>23_2026-01-23</t>
        </is>
      </c>
      <c r="B246" t="n">
        <v>23</v>
      </c>
      <c r="C246" t="inlineStr">
        <is>
          <t>Merchant_023</t>
        </is>
      </c>
      <c r="D246" t="inlineStr">
        <is>
          <t>North</t>
        </is>
      </c>
      <c r="E246" s="5" t="n">
        <v>46045</v>
      </c>
      <c r="F246" t="n">
        <v>247</v>
      </c>
      <c r="G246">
        <f>IF(AND(F246&gt;5000,D246&lt;&gt;"East"),"High-Value Merchant Day","Normal")</f>
        <v/>
      </c>
    </row>
    <row r="247">
      <c r="A247" t="inlineStr">
        <is>
          <t>23_2026-01-26</t>
        </is>
      </c>
      <c r="B247" t="n">
        <v>23</v>
      </c>
      <c r="C247" t="inlineStr">
        <is>
          <t>Merchant_023</t>
        </is>
      </c>
      <c r="D247" t="inlineStr">
        <is>
          <t>North</t>
        </is>
      </c>
      <c r="E247" s="5" t="n">
        <v>46048</v>
      </c>
      <c r="F247" t="n">
        <v>49</v>
      </c>
      <c r="G247">
        <f>IF(AND(F247&gt;5000,D247&lt;&gt;"East"),"High-Value Merchant Day","Normal")</f>
        <v/>
      </c>
    </row>
    <row r="248">
      <c r="A248" t="inlineStr">
        <is>
          <t>24_2026-01-03</t>
        </is>
      </c>
      <c r="B248" t="n">
        <v>24</v>
      </c>
      <c r="C248" t="inlineStr">
        <is>
          <t>Merchant_024</t>
        </is>
      </c>
      <c r="D248" t="inlineStr">
        <is>
          <t>North</t>
        </is>
      </c>
      <c r="E248" s="5" t="n">
        <v>46025</v>
      </c>
      <c r="F248" t="n">
        <v>49</v>
      </c>
      <c r="G248">
        <f>IF(AND(F248&gt;5000,D248&lt;&gt;"East"),"High-Value Merchant Day","Normal")</f>
        <v/>
      </c>
    </row>
    <row r="249">
      <c r="A249" t="inlineStr">
        <is>
          <t>24_2026-01-04</t>
        </is>
      </c>
      <c r="B249" t="n">
        <v>24</v>
      </c>
      <c r="C249" t="inlineStr">
        <is>
          <t>Merchant_024</t>
        </is>
      </c>
      <c r="D249" t="inlineStr">
        <is>
          <t>North</t>
        </is>
      </c>
      <c r="E249" s="5" t="n">
        <v>46026</v>
      </c>
      <c r="F249" t="n">
        <v>149</v>
      </c>
      <c r="G249">
        <f>IF(AND(F249&gt;5000,D249&lt;&gt;"East"),"High-Value Merchant Day","Normal")</f>
        <v/>
      </c>
    </row>
    <row r="250">
      <c r="A250" t="inlineStr">
        <is>
          <t>24_2026-01-07</t>
        </is>
      </c>
      <c r="B250" t="n">
        <v>24</v>
      </c>
      <c r="C250" t="inlineStr">
        <is>
          <t>Merchant_024</t>
        </is>
      </c>
      <c r="D250" t="inlineStr">
        <is>
          <t>North</t>
        </is>
      </c>
      <c r="E250" s="5" t="n">
        <v>46029</v>
      </c>
      <c r="F250" t="n">
        <v>299</v>
      </c>
      <c r="G250">
        <f>IF(AND(F250&gt;5000,D250&lt;&gt;"East"),"High-Value Merchant Day","Normal")</f>
        <v/>
      </c>
    </row>
    <row r="251">
      <c r="A251" t="inlineStr">
        <is>
          <t>24_2026-01-11</t>
        </is>
      </c>
      <c r="B251" t="n">
        <v>24</v>
      </c>
      <c r="C251" t="inlineStr">
        <is>
          <t>Merchant_024</t>
        </is>
      </c>
      <c r="D251" t="inlineStr">
        <is>
          <t>North</t>
        </is>
      </c>
      <c r="E251" s="5" t="n">
        <v>46033</v>
      </c>
      <c r="F251" t="n">
        <v>799</v>
      </c>
      <c r="G251">
        <f>IF(AND(F251&gt;5000,D251&lt;&gt;"East"),"High-Value Merchant Day","Normal")</f>
        <v/>
      </c>
    </row>
    <row r="252">
      <c r="A252" t="inlineStr">
        <is>
          <t>24_2026-01-12</t>
        </is>
      </c>
      <c r="B252" t="n">
        <v>24</v>
      </c>
      <c r="C252" t="inlineStr">
        <is>
          <t>Merchant_024</t>
        </is>
      </c>
      <c r="D252" t="inlineStr">
        <is>
          <t>North</t>
        </is>
      </c>
      <c r="E252" s="5" t="n">
        <v>46034</v>
      </c>
      <c r="F252" t="n">
        <v>149</v>
      </c>
      <c r="G252">
        <f>IF(AND(F252&gt;5000,D252&lt;&gt;"East"),"High-Value Merchant Day","Normal")</f>
        <v/>
      </c>
    </row>
    <row r="253">
      <c r="A253" t="inlineStr">
        <is>
          <t>24_2026-01-14</t>
        </is>
      </c>
      <c r="B253" t="n">
        <v>24</v>
      </c>
      <c r="C253" t="inlineStr">
        <is>
          <t>Merchant_024</t>
        </is>
      </c>
      <c r="D253" t="inlineStr">
        <is>
          <t>North</t>
        </is>
      </c>
      <c r="E253" s="5" t="n">
        <v>46036</v>
      </c>
      <c r="F253" t="n">
        <v>499</v>
      </c>
      <c r="G253">
        <f>IF(AND(F253&gt;5000,D253&lt;&gt;"East"),"High-Value Merchant Day","Normal")</f>
        <v/>
      </c>
    </row>
    <row r="254">
      <c r="A254" t="inlineStr">
        <is>
          <t>24_2026-01-20</t>
        </is>
      </c>
      <c r="B254" t="n">
        <v>24</v>
      </c>
      <c r="C254" t="inlineStr">
        <is>
          <t>Merchant_024</t>
        </is>
      </c>
      <c r="D254" t="inlineStr">
        <is>
          <t>North</t>
        </is>
      </c>
      <c r="E254" s="5" t="n">
        <v>46042</v>
      </c>
      <c r="F254" t="n">
        <v>299</v>
      </c>
      <c r="G254">
        <f>IF(AND(F254&gt;5000,D254&lt;&gt;"East"),"High-Value Merchant Day","Normal")</f>
        <v/>
      </c>
    </row>
    <row r="255">
      <c r="A255" t="inlineStr">
        <is>
          <t>24_2026-01-21</t>
        </is>
      </c>
      <c r="B255" t="n">
        <v>24</v>
      </c>
      <c r="C255" t="inlineStr">
        <is>
          <t>Merchant_024</t>
        </is>
      </c>
      <c r="D255" t="inlineStr">
        <is>
          <t>North</t>
        </is>
      </c>
      <c r="E255" s="5" t="n">
        <v>46043</v>
      </c>
      <c r="F255" t="n">
        <v>799</v>
      </c>
      <c r="G255">
        <f>IF(AND(F255&gt;5000,D255&lt;&gt;"East"),"High-Value Merchant Day","Normal")</f>
        <v/>
      </c>
    </row>
    <row r="256">
      <c r="A256" t="inlineStr">
        <is>
          <t>24_2026-01-22</t>
        </is>
      </c>
      <c r="B256" t="n">
        <v>24</v>
      </c>
      <c r="C256" t="inlineStr">
        <is>
          <t>Merchant_024</t>
        </is>
      </c>
      <c r="D256" t="inlineStr">
        <is>
          <t>North</t>
        </is>
      </c>
      <c r="E256" s="5" t="n">
        <v>46044</v>
      </c>
      <c r="F256" t="n">
        <v>49</v>
      </c>
      <c r="G256">
        <f>IF(AND(F256&gt;5000,D256&lt;&gt;"East"),"High-Value Merchant Day","Normal")</f>
        <v/>
      </c>
    </row>
    <row r="257">
      <c r="A257" t="inlineStr">
        <is>
          <t>24_2026-01-24</t>
        </is>
      </c>
      <c r="B257" t="n">
        <v>24</v>
      </c>
      <c r="C257" t="inlineStr">
        <is>
          <t>Merchant_024</t>
        </is>
      </c>
      <c r="D257" t="inlineStr">
        <is>
          <t>North</t>
        </is>
      </c>
      <c r="E257" s="5" t="n">
        <v>46046</v>
      </c>
      <c r="F257" t="n">
        <v>148</v>
      </c>
      <c r="G257">
        <f>IF(AND(F257&gt;5000,D257&lt;&gt;"East"),"High-Value Merchant Day","Normal")</f>
        <v/>
      </c>
    </row>
    <row r="258">
      <c r="A258" t="inlineStr">
        <is>
          <t>24_2026-01-26</t>
        </is>
      </c>
      <c r="B258" t="n">
        <v>24</v>
      </c>
      <c r="C258" t="inlineStr">
        <is>
          <t>Merchant_024</t>
        </is>
      </c>
      <c r="D258" t="inlineStr">
        <is>
          <t>North</t>
        </is>
      </c>
      <c r="E258" s="5" t="n">
        <v>46048</v>
      </c>
      <c r="F258" t="n">
        <v>348</v>
      </c>
      <c r="G258">
        <f>IF(AND(F258&gt;5000,D258&lt;&gt;"East"),"High-Value Merchant Day","Normal")</f>
        <v/>
      </c>
    </row>
    <row r="259">
      <c r="A259" t="inlineStr">
        <is>
          <t>25_2026-01-02</t>
        </is>
      </c>
      <c r="B259" t="n">
        <v>25</v>
      </c>
      <c r="C259" t="inlineStr">
        <is>
          <t>Merchant_025</t>
        </is>
      </c>
      <c r="D259" t="inlineStr">
        <is>
          <t>South</t>
        </is>
      </c>
      <c r="E259" s="5" t="n">
        <v>46024</v>
      </c>
      <c r="F259" t="n">
        <v>99</v>
      </c>
      <c r="G259">
        <f>IF(AND(F259&gt;5000,D259&lt;&gt;"East"),"High-Value Merchant Day","Normal")</f>
        <v/>
      </c>
    </row>
    <row r="260">
      <c r="A260" t="inlineStr">
        <is>
          <t>25_2026-01-05</t>
        </is>
      </c>
      <c r="B260" t="n">
        <v>25</v>
      </c>
      <c r="C260" t="inlineStr">
        <is>
          <t>Merchant_025</t>
        </is>
      </c>
      <c r="D260" t="inlineStr">
        <is>
          <t>South</t>
        </is>
      </c>
      <c r="E260" s="5" t="n">
        <v>46027</v>
      </c>
      <c r="F260" t="n">
        <v>4498</v>
      </c>
      <c r="G260">
        <f>IF(AND(F260&gt;5000,D260&lt;&gt;"East"),"High-Value Merchant Day","Normal")</f>
        <v/>
      </c>
    </row>
    <row r="261">
      <c r="A261" t="inlineStr">
        <is>
          <t>25_2026-01-06</t>
        </is>
      </c>
      <c r="B261" t="n">
        <v>25</v>
      </c>
      <c r="C261" t="inlineStr">
        <is>
          <t>Merchant_025</t>
        </is>
      </c>
      <c r="D261" t="inlineStr">
        <is>
          <t>South</t>
        </is>
      </c>
      <c r="E261" s="5" t="n">
        <v>46028</v>
      </c>
      <c r="F261" t="n">
        <v>898</v>
      </c>
      <c r="G261">
        <f>IF(AND(F261&gt;5000,D261&lt;&gt;"East"),"High-Value Merchant Day","Normal")</f>
        <v/>
      </c>
    </row>
    <row r="262">
      <c r="A262" t="inlineStr">
        <is>
          <t>25_2026-01-11</t>
        </is>
      </c>
      <c r="B262" t="n">
        <v>25</v>
      </c>
      <c r="C262" t="inlineStr">
        <is>
          <t>Merchant_025</t>
        </is>
      </c>
      <c r="D262" t="inlineStr">
        <is>
          <t>South</t>
        </is>
      </c>
      <c r="E262" s="5" t="n">
        <v>46033</v>
      </c>
      <c r="F262" t="n">
        <v>799</v>
      </c>
      <c r="G262">
        <f>IF(AND(F262&gt;5000,D262&lt;&gt;"East"),"High-Value Merchant Day","Normal")</f>
        <v/>
      </c>
    </row>
    <row r="263">
      <c r="A263" t="inlineStr">
        <is>
          <t>25_2026-01-13</t>
        </is>
      </c>
      <c r="B263" t="n">
        <v>25</v>
      </c>
      <c r="C263" t="inlineStr">
        <is>
          <t>Merchant_025</t>
        </is>
      </c>
      <c r="D263" t="inlineStr">
        <is>
          <t>South</t>
        </is>
      </c>
      <c r="E263" s="5" t="n">
        <v>46035</v>
      </c>
      <c r="F263" t="n">
        <v>49</v>
      </c>
      <c r="G263">
        <f>IF(AND(F263&gt;5000,D263&lt;&gt;"East"),"High-Value Merchant Day","Normal")</f>
        <v/>
      </c>
    </row>
    <row r="264">
      <c r="A264" t="inlineStr">
        <is>
          <t>25_2026-01-15</t>
        </is>
      </c>
      <c r="B264" t="n">
        <v>25</v>
      </c>
      <c r="C264" t="inlineStr">
        <is>
          <t>Merchant_025</t>
        </is>
      </c>
      <c r="D264" t="inlineStr">
        <is>
          <t>South</t>
        </is>
      </c>
      <c r="E264" s="5" t="n">
        <v>46037</v>
      </c>
      <c r="F264" t="n">
        <v>49</v>
      </c>
      <c r="G264">
        <f>IF(AND(F264&gt;5000,D264&lt;&gt;"East"),"High-Value Merchant Day","Normal")</f>
        <v/>
      </c>
    </row>
    <row r="265">
      <c r="A265" t="inlineStr">
        <is>
          <t>25_2026-01-16</t>
        </is>
      </c>
      <c r="B265" t="n">
        <v>25</v>
      </c>
      <c r="C265" t="inlineStr">
        <is>
          <t>Merchant_025</t>
        </is>
      </c>
      <c r="D265" t="inlineStr">
        <is>
          <t>South</t>
        </is>
      </c>
      <c r="E265" s="5" t="n">
        <v>46038</v>
      </c>
      <c r="F265" t="n">
        <v>799</v>
      </c>
      <c r="G265">
        <f>IF(AND(F265&gt;5000,D265&lt;&gt;"East"),"High-Value Merchant Day","Normal")</f>
        <v/>
      </c>
    </row>
    <row r="266">
      <c r="A266" t="inlineStr">
        <is>
          <t>25_2026-01-19</t>
        </is>
      </c>
      <c r="B266" t="n">
        <v>25</v>
      </c>
      <c r="C266" t="inlineStr">
        <is>
          <t>Merchant_025</t>
        </is>
      </c>
      <c r="D266" t="inlineStr">
        <is>
          <t>South</t>
        </is>
      </c>
      <c r="E266" s="5" t="n">
        <v>46041</v>
      </c>
      <c r="F266" t="n">
        <v>4498</v>
      </c>
      <c r="G266">
        <f>IF(AND(F266&gt;5000,D266&lt;&gt;"East"),"High-Value Merchant Day","Normal")</f>
        <v/>
      </c>
    </row>
    <row r="267">
      <c r="A267" t="inlineStr">
        <is>
          <t>25_2026-01-24</t>
        </is>
      </c>
      <c r="B267" t="n">
        <v>25</v>
      </c>
      <c r="C267" t="inlineStr">
        <is>
          <t>Merchant_025</t>
        </is>
      </c>
      <c r="D267" t="inlineStr">
        <is>
          <t>South</t>
        </is>
      </c>
      <c r="E267" s="5" t="n">
        <v>46046</v>
      </c>
      <c r="F267" t="n">
        <v>497</v>
      </c>
      <c r="G267">
        <f>IF(AND(F267&gt;5000,D267&lt;&gt;"East"),"High-Value Merchant Day","Normal")</f>
        <v/>
      </c>
    </row>
    <row r="268">
      <c r="A268" t="inlineStr">
        <is>
          <t>25_2026-01-28</t>
        </is>
      </c>
      <c r="B268" t="n">
        <v>25</v>
      </c>
      <c r="C268" t="inlineStr">
        <is>
          <t>Merchant_025</t>
        </is>
      </c>
      <c r="D268" t="inlineStr">
        <is>
          <t>South</t>
        </is>
      </c>
      <c r="E268" s="5" t="n">
        <v>46050</v>
      </c>
      <c r="F268" t="n">
        <v>299</v>
      </c>
      <c r="G268">
        <f>IF(AND(F268&gt;5000,D268&lt;&gt;"East"),"High-Value Merchant Day","Normal")</f>
        <v/>
      </c>
    </row>
    <row r="269">
      <c r="A269" t="inlineStr">
        <is>
          <t>25_2026-01-29</t>
        </is>
      </c>
      <c r="B269" t="n">
        <v>25</v>
      </c>
      <c r="C269" t="inlineStr">
        <is>
          <t>Merchant_025</t>
        </is>
      </c>
      <c r="D269" t="inlineStr">
        <is>
          <t>South</t>
        </is>
      </c>
      <c r="E269" s="5" t="n">
        <v>46051</v>
      </c>
      <c r="F269" t="n">
        <v>3048</v>
      </c>
      <c r="G269">
        <f>IF(AND(F269&gt;5000,D269&lt;&gt;"East"),"High-Value Merchant Day","Normal")</f>
        <v/>
      </c>
    </row>
    <row r="270">
      <c r="A270" t="inlineStr">
        <is>
          <t>26_2026-01-02</t>
        </is>
      </c>
      <c r="B270" t="n">
        <v>26</v>
      </c>
      <c r="C270" t="inlineStr">
        <is>
          <t>Merchant_026</t>
        </is>
      </c>
      <c r="D270" t="inlineStr">
        <is>
          <t>East</t>
        </is>
      </c>
      <c r="E270" s="5" t="n">
        <v>46024</v>
      </c>
      <c r="F270" t="n">
        <v>399</v>
      </c>
      <c r="G270">
        <f>IF(AND(F270&gt;5000,D270&lt;&gt;"East"),"High-Value Merchant Day","Normal")</f>
        <v/>
      </c>
    </row>
    <row r="271">
      <c r="A271" t="inlineStr">
        <is>
          <t>26_2026-01-03</t>
        </is>
      </c>
      <c r="B271" t="n">
        <v>26</v>
      </c>
      <c r="C271" t="inlineStr">
        <is>
          <t>Merchant_026</t>
        </is>
      </c>
      <c r="D271" t="inlineStr">
        <is>
          <t>East</t>
        </is>
      </c>
      <c r="E271" s="5" t="n">
        <v>46025</v>
      </c>
      <c r="F271" t="n">
        <v>99</v>
      </c>
      <c r="G271">
        <f>IF(AND(F271&gt;5000,D271&lt;&gt;"East"),"High-Value Merchant Day","Normal")</f>
        <v/>
      </c>
    </row>
    <row r="272">
      <c r="A272" t="inlineStr">
        <is>
          <t>26_2026-01-06</t>
        </is>
      </c>
      <c r="B272" t="n">
        <v>26</v>
      </c>
      <c r="C272" t="inlineStr">
        <is>
          <t>Merchant_026</t>
        </is>
      </c>
      <c r="D272" t="inlineStr">
        <is>
          <t>East</t>
        </is>
      </c>
      <c r="E272" s="5" t="n">
        <v>46028</v>
      </c>
      <c r="F272" t="n">
        <v>49</v>
      </c>
      <c r="G272">
        <f>IF(AND(F272&gt;5000,D272&lt;&gt;"East"),"High-Value Merchant Day","Normal")</f>
        <v/>
      </c>
    </row>
    <row r="273">
      <c r="A273" t="inlineStr">
        <is>
          <t>26_2026-01-10</t>
        </is>
      </c>
      <c r="B273" t="n">
        <v>26</v>
      </c>
      <c r="C273" t="inlineStr">
        <is>
          <t>Merchant_026</t>
        </is>
      </c>
      <c r="D273" t="inlineStr">
        <is>
          <t>East</t>
        </is>
      </c>
      <c r="E273" s="5" t="n">
        <v>46032</v>
      </c>
      <c r="F273" t="n">
        <v>299</v>
      </c>
      <c r="G273">
        <f>IF(AND(F273&gt;5000,D273&lt;&gt;"East"),"High-Value Merchant Day","Normal")</f>
        <v/>
      </c>
    </row>
    <row r="274">
      <c r="A274" t="inlineStr">
        <is>
          <t>26_2026-01-12</t>
        </is>
      </c>
      <c r="B274" t="n">
        <v>26</v>
      </c>
      <c r="C274" t="inlineStr">
        <is>
          <t>Merchant_026</t>
        </is>
      </c>
      <c r="D274" t="inlineStr">
        <is>
          <t>East</t>
        </is>
      </c>
      <c r="E274" s="5" t="n">
        <v>46034</v>
      </c>
      <c r="F274" t="n">
        <v>299</v>
      </c>
      <c r="G274">
        <f>IF(AND(F274&gt;5000,D274&lt;&gt;"East"),"High-Value Merchant Day","Normal")</f>
        <v/>
      </c>
    </row>
    <row r="275">
      <c r="A275" t="inlineStr">
        <is>
          <t>26_2026-01-14</t>
        </is>
      </c>
      <c r="B275" t="n">
        <v>26</v>
      </c>
      <c r="C275" t="inlineStr">
        <is>
          <t>Merchant_026</t>
        </is>
      </c>
      <c r="D275" t="inlineStr">
        <is>
          <t>East</t>
        </is>
      </c>
      <c r="E275" s="5" t="n">
        <v>46036</v>
      </c>
      <c r="F275" t="n">
        <v>299</v>
      </c>
      <c r="G275">
        <f>IF(AND(F275&gt;5000,D275&lt;&gt;"East"),"High-Value Merchant Day","Normal")</f>
        <v/>
      </c>
    </row>
    <row r="276">
      <c r="A276" t="inlineStr">
        <is>
          <t>26_2026-01-22</t>
        </is>
      </c>
      <c r="B276" t="n">
        <v>26</v>
      </c>
      <c r="C276" t="inlineStr">
        <is>
          <t>Merchant_026</t>
        </is>
      </c>
      <c r="D276" t="inlineStr">
        <is>
          <t>East</t>
        </is>
      </c>
      <c r="E276" s="5" t="n">
        <v>46044</v>
      </c>
      <c r="F276" t="n">
        <v>499</v>
      </c>
      <c r="G276">
        <f>IF(AND(F276&gt;5000,D276&lt;&gt;"East"),"High-Value Merchant Day","Normal")</f>
        <v/>
      </c>
    </row>
    <row r="277">
      <c r="A277" t="inlineStr">
        <is>
          <t>26_2026-01-23</t>
        </is>
      </c>
      <c r="B277" t="n">
        <v>26</v>
      </c>
      <c r="C277" t="inlineStr">
        <is>
          <t>Merchant_026</t>
        </is>
      </c>
      <c r="D277" t="inlineStr">
        <is>
          <t>East</t>
        </is>
      </c>
      <c r="E277" s="5" t="n">
        <v>46045</v>
      </c>
      <c r="F277" t="n">
        <v>99</v>
      </c>
      <c r="G277">
        <f>IF(AND(F277&gt;5000,D277&lt;&gt;"East"),"High-Value Merchant Day","Normal")</f>
        <v/>
      </c>
    </row>
    <row r="278">
      <c r="A278" t="inlineStr">
        <is>
          <t>26_2026-01-28</t>
        </is>
      </c>
      <c r="B278" t="n">
        <v>26</v>
      </c>
      <c r="C278" t="inlineStr">
        <is>
          <t>Merchant_026</t>
        </is>
      </c>
      <c r="D278" t="inlineStr">
        <is>
          <t>East</t>
        </is>
      </c>
      <c r="E278" s="5" t="n">
        <v>46050</v>
      </c>
      <c r="F278" t="n">
        <v>1499</v>
      </c>
      <c r="G278">
        <f>IF(AND(F278&gt;5000,D278&lt;&gt;"East"),"High-Value Merchant Day","Normal")</f>
        <v/>
      </c>
    </row>
    <row r="279">
      <c r="A279" t="inlineStr">
        <is>
          <t>26_2026-01-29</t>
        </is>
      </c>
      <c r="B279" t="n">
        <v>26</v>
      </c>
      <c r="C279" t="inlineStr">
        <is>
          <t>Merchant_026</t>
        </is>
      </c>
      <c r="D279" t="inlineStr">
        <is>
          <t>East</t>
        </is>
      </c>
      <c r="E279" s="5" t="n">
        <v>46051</v>
      </c>
      <c r="F279" t="n">
        <v>148</v>
      </c>
      <c r="G279">
        <f>IF(AND(F279&gt;5000,D279&lt;&gt;"East"),"High-Value Merchant Day","Normal")</f>
        <v/>
      </c>
    </row>
    <row r="280">
      <c r="A280" t="inlineStr">
        <is>
          <t>26_2026-01-30</t>
        </is>
      </c>
      <c r="B280" t="n">
        <v>26</v>
      </c>
      <c r="C280" t="inlineStr">
        <is>
          <t>Merchant_026</t>
        </is>
      </c>
      <c r="D280" t="inlineStr">
        <is>
          <t>East</t>
        </is>
      </c>
      <c r="E280" s="5" t="n">
        <v>46052</v>
      </c>
      <c r="F280" t="n">
        <v>1499</v>
      </c>
      <c r="G280">
        <f>IF(AND(F280&gt;5000,D280&lt;&gt;"East"),"High-Value Merchant Day","Normal")</f>
        <v/>
      </c>
    </row>
    <row r="281">
      <c r="A281" t="inlineStr">
        <is>
          <t>27_2026-01-01</t>
        </is>
      </c>
      <c r="B281" t="n">
        <v>27</v>
      </c>
      <c r="C281" t="inlineStr">
        <is>
          <t>Merchant_027</t>
        </is>
      </c>
      <c r="D281" t="inlineStr">
        <is>
          <t>North</t>
        </is>
      </c>
      <c r="E281" s="5" t="n">
        <v>46023</v>
      </c>
      <c r="F281" t="n">
        <v>149</v>
      </c>
      <c r="G281">
        <f>IF(AND(F281&gt;5000,D281&lt;&gt;"East"),"High-Value Merchant Day","Normal")</f>
        <v/>
      </c>
    </row>
    <row r="282">
      <c r="A282" t="inlineStr">
        <is>
          <t>27_2026-01-04</t>
        </is>
      </c>
      <c r="B282" t="n">
        <v>27</v>
      </c>
      <c r="C282" t="inlineStr">
        <is>
          <t>Merchant_027</t>
        </is>
      </c>
      <c r="D282" t="inlineStr">
        <is>
          <t>North</t>
        </is>
      </c>
      <c r="E282" s="5" t="n">
        <v>46026</v>
      </c>
      <c r="F282" t="n">
        <v>49</v>
      </c>
      <c r="G282">
        <f>IF(AND(F282&gt;5000,D282&lt;&gt;"East"),"High-Value Merchant Day","Normal")</f>
        <v/>
      </c>
    </row>
    <row r="283">
      <c r="A283" t="inlineStr">
        <is>
          <t>27_2026-01-10</t>
        </is>
      </c>
      <c r="B283" t="n">
        <v>27</v>
      </c>
      <c r="C283" t="inlineStr">
        <is>
          <t>Merchant_027</t>
        </is>
      </c>
      <c r="D283" t="inlineStr">
        <is>
          <t>North</t>
        </is>
      </c>
      <c r="E283" s="5" t="n">
        <v>46032</v>
      </c>
      <c r="F283" t="n">
        <v>149</v>
      </c>
      <c r="G283">
        <f>IF(AND(F283&gt;5000,D283&lt;&gt;"East"),"High-Value Merchant Day","Normal")</f>
        <v/>
      </c>
    </row>
    <row r="284">
      <c r="A284" t="inlineStr">
        <is>
          <t>27_2026-01-12</t>
        </is>
      </c>
      <c r="B284" t="n">
        <v>27</v>
      </c>
      <c r="C284" t="inlineStr">
        <is>
          <t>Merchant_027</t>
        </is>
      </c>
      <c r="D284" t="inlineStr">
        <is>
          <t>North</t>
        </is>
      </c>
      <c r="E284" s="5" t="n">
        <v>46034</v>
      </c>
      <c r="F284" t="n">
        <v>299</v>
      </c>
      <c r="G284">
        <f>IF(AND(F284&gt;5000,D284&lt;&gt;"East"),"High-Value Merchant Day","Normal")</f>
        <v/>
      </c>
    </row>
    <row r="285">
      <c r="A285" t="inlineStr">
        <is>
          <t>27_2026-01-14</t>
        </is>
      </c>
      <c r="B285" t="n">
        <v>27</v>
      </c>
      <c r="C285" t="inlineStr">
        <is>
          <t>Merchant_027</t>
        </is>
      </c>
      <c r="D285" t="inlineStr">
        <is>
          <t>North</t>
        </is>
      </c>
      <c r="E285" s="5" t="n">
        <v>46036</v>
      </c>
      <c r="F285" t="n">
        <v>149</v>
      </c>
      <c r="G285">
        <f>IF(AND(F285&gt;5000,D285&lt;&gt;"East"),"High-Value Merchant Day","Normal")</f>
        <v/>
      </c>
    </row>
    <row r="286">
      <c r="A286" t="inlineStr">
        <is>
          <t>27_2026-01-15</t>
        </is>
      </c>
      <c r="B286" t="n">
        <v>27</v>
      </c>
      <c r="C286" t="inlineStr">
        <is>
          <t>Merchant_027</t>
        </is>
      </c>
      <c r="D286" t="inlineStr">
        <is>
          <t>North</t>
        </is>
      </c>
      <c r="E286" s="5" t="n">
        <v>46037</v>
      </c>
      <c r="F286" t="n">
        <v>1499</v>
      </c>
      <c r="G286">
        <f>IF(AND(F286&gt;5000,D286&lt;&gt;"East"),"High-Value Merchant Day","Normal")</f>
        <v/>
      </c>
    </row>
    <row r="287">
      <c r="A287" t="inlineStr">
        <is>
          <t>27_2026-01-17</t>
        </is>
      </c>
      <c r="B287" t="n">
        <v>27</v>
      </c>
      <c r="C287" t="inlineStr">
        <is>
          <t>Merchant_027</t>
        </is>
      </c>
      <c r="D287" t="inlineStr">
        <is>
          <t>North</t>
        </is>
      </c>
      <c r="E287" s="5" t="n">
        <v>46039</v>
      </c>
      <c r="F287" t="n">
        <v>1597</v>
      </c>
      <c r="G287">
        <f>IF(AND(F287&gt;5000,D287&lt;&gt;"East"),"High-Value Merchant Day","Normal")</f>
        <v/>
      </c>
    </row>
    <row r="288">
      <c r="A288" t="inlineStr">
        <is>
          <t>27_2026-01-19</t>
        </is>
      </c>
      <c r="B288" t="n">
        <v>27</v>
      </c>
      <c r="C288" t="inlineStr">
        <is>
          <t>Merchant_027</t>
        </is>
      </c>
      <c r="D288" t="inlineStr">
        <is>
          <t>North</t>
        </is>
      </c>
      <c r="E288" s="5" t="n">
        <v>46041</v>
      </c>
      <c r="F288" t="n">
        <v>49</v>
      </c>
      <c r="G288">
        <f>IF(AND(F288&gt;5000,D288&lt;&gt;"East"),"High-Value Merchant Day","Normal")</f>
        <v/>
      </c>
    </row>
    <row r="289">
      <c r="A289" t="inlineStr">
        <is>
          <t>27_2026-01-20</t>
        </is>
      </c>
      <c r="B289" t="n">
        <v>27</v>
      </c>
      <c r="C289" t="inlineStr">
        <is>
          <t>Merchant_027</t>
        </is>
      </c>
      <c r="D289" t="inlineStr">
        <is>
          <t>North</t>
        </is>
      </c>
      <c r="E289" s="5" t="n">
        <v>46042</v>
      </c>
      <c r="F289" t="n">
        <v>4999</v>
      </c>
      <c r="G289">
        <f>IF(AND(F289&gt;5000,D289&lt;&gt;"East"),"High-Value Merchant Day","Normal")</f>
        <v/>
      </c>
    </row>
    <row r="290">
      <c r="A290" t="inlineStr">
        <is>
          <t>27_2026-01-21</t>
        </is>
      </c>
      <c r="B290" t="n">
        <v>27</v>
      </c>
      <c r="C290" t="inlineStr">
        <is>
          <t>Merchant_027</t>
        </is>
      </c>
      <c r="D290" t="inlineStr">
        <is>
          <t>North</t>
        </is>
      </c>
      <c r="E290" s="5" t="n">
        <v>46043</v>
      </c>
      <c r="F290" t="n">
        <v>499</v>
      </c>
      <c r="G290">
        <f>IF(AND(F290&gt;5000,D290&lt;&gt;"East"),"High-Value Merchant Day","Normal")</f>
        <v/>
      </c>
    </row>
    <row r="291">
      <c r="A291" t="inlineStr">
        <is>
          <t>27_2026-01-22</t>
        </is>
      </c>
      <c r="B291" t="n">
        <v>27</v>
      </c>
      <c r="C291" t="inlineStr">
        <is>
          <t>Merchant_027</t>
        </is>
      </c>
      <c r="D291" t="inlineStr">
        <is>
          <t>North</t>
        </is>
      </c>
      <c r="E291" s="5" t="n">
        <v>46044</v>
      </c>
      <c r="F291" t="n">
        <v>49</v>
      </c>
      <c r="G291">
        <f>IF(AND(F291&gt;5000,D291&lt;&gt;"East"),"High-Value Merchant Day","Normal")</f>
        <v/>
      </c>
    </row>
    <row r="292">
      <c r="A292" t="inlineStr">
        <is>
          <t>27_2026-01-23</t>
        </is>
      </c>
      <c r="B292" t="n">
        <v>27</v>
      </c>
      <c r="C292" t="inlineStr">
        <is>
          <t>Merchant_027</t>
        </is>
      </c>
      <c r="D292" t="inlineStr">
        <is>
          <t>North</t>
        </is>
      </c>
      <c r="E292" s="5" t="n">
        <v>46045</v>
      </c>
      <c r="F292" t="n">
        <v>3998</v>
      </c>
      <c r="G292">
        <f>IF(AND(F292&gt;5000,D292&lt;&gt;"East"),"High-Value Merchant Day","Normal")</f>
        <v/>
      </c>
    </row>
    <row r="293">
      <c r="A293" t="inlineStr">
        <is>
          <t>27_2026-01-24</t>
        </is>
      </c>
      <c r="B293" t="n">
        <v>27</v>
      </c>
      <c r="C293" t="inlineStr">
        <is>
          <t>Merchant_027</t>
        </is>
      </c>
      <c r="D293" t="inlineStr">
        <is>
          <t>North</t>
        </is>
      </c>
      <c r="E293" s="5" t="n">
        <v>46046</v>
      </c>
      <c r="F293" t="n">
        <v>99</v>
      </c>
      <c r="G293">
        <f>IF(AND(F293&gt;5000,D293&lt;&gt;"East"),"High-Value Merchant Day","Normal")</f>
        <v/>
      </c>
    </row>
    <row r="294">
      <c r="A294" t="inlineStr">
        <is>
          <t>28_2026-01-08</t>
        </is>
      </c>
      <c r="B294" t="n">
        <v>28</v>
      </c>
      <c r="C294" t="inlineStr">
        <is>
          <t>Merchant_028</t>
        </is>
      </c>
      <c r="D294" t="inlineStr">
        <is>
          <t>South</t>
        </is>
      </c>
      <c r="E294" s="5" t="n">
        <v>46030</v>
      </c>
      <c r="F294" t="n">
        <v>49</v>
      </c>
      <c r="G294">
        <f>IF(AND(F294&gt;5000,D294&lt;&gt;"East"),"High-Value Merchant Day","Normal")</f>
        <v/>
      </c>
    </row>
    <row r="295">
      <c r="A295" t="inlineStr">
        <is>
          <t>28_2026-01-09</t>
        </is>
      </c>
      <c r="B295" t="n">
        <v>28</v>
      </c>
      <c r="C295" t="inlineStr">
        <is>
          <t>Merchant_028</t>
        </is>
      </c>
      <c r="D295" t="inlineStr">
        <is>
          <t>South</t>
        </is>
      </c>
      <c r="E295" s="5" t="n">
        <v>46031</v>
      </c>
      <c r="F295" t="n">
        <v>2999</v>
      </c>
      <c r="G295">
        <f>IF(AND(F295&gt;5000,D295&lt;&gt;"East"),"High-Value Merchant Day","Normal")</f>
        <v/>
      </c>
    </row>
    <row r="296">
      <c r="A296" t="inlineStr">
        <is>
          <t>28_2026-01-10</t>
        </is>
      </c>
      <c r="B296" t="n">
        <v>28</v>
      </c>
      <c r="C296" t="inlineStr">
        <is>
          <t>Merchant_028</t>
        </is>
      </c>
      <c r="D296" t="inlineStr">
        <is>
          <t>South</t>
        </is>
      </c>
      <c r="E296" s="5" t="n">
        <v>46032</v>
      </c>
      <c r="F296" t="n">
        <v>499</v>
      </c>
      <c r="G296">
        <f>IF(AND(F296&gt;5000,D296&lt;&gt;"East"),"High-Value Merchant Day","Normal")</f>
        <v/>
      </c>
    </row>
    <row r="297">
      <c r="A297" t="inlineStr">
        <is>
          <t>28_2026-01-11</t>
        </is>
      </c>
      <c r="B297" t="n">
        <v>28</v>
      </c>
      <c r="C297" t="inlineStr">
        <is>
          <t>Merchant_028</t>
        </is>
      </c>
      <c r="D297" t="inlineStr">
        <is>
          <t>South</t>
        </is>
      </c>
      <c r="E297" s="5" t="n">
        <v>46033</v>
      </c>
      <c r="F297" t="n">
        <v>49</v>
      </c>
      <c r="G297">
        <f>IF(AND(F297&gt;5000,D297&lt;&gt;"East"),"High-Value Merchant Day","Normal")</f>
        <v/>
      </c>
    </row>
    <row r="298">
      <c r="A298" t="inlineStr">
        <is>
          <t>28_2026-01-14</t>
        </is>
      </c>
      <c r="B298" t="n">
        <v>28</v>
      </c>
      <c r="C298" t="inlineStr">
        <is>
          <t>Merchant_028</t>
        </is>
      </c>
      <c r="D298" t="inlineStr">
        <is>
          <t>South</t>
        </is>
      </c>
      <c r="E298" s="5" t="n">
        <v>46036</v>
      </c>
      <c r="F298" t="n">
        <v>49</v>
      </c>
      <c r="G298">
        <f>IF(AND(F298&gt;5000,D298&lt;&gt;"East"),"High-Value Merchant Day","Normal")</f>
        <v/>
      </c>
    </row>
    <row r="299">
      <c r="A299" t="inlineStr">
        <is>
          <t>28_2026-01-15</t>
        </is>
      </c>
      <c r="B299" t="n">
        <v>28</v>
      </c>
      <c r="C299" t="inlineStr">
        <is>
          <t>Merchant_028</t>
        </is>
      </c>
      <c r="D299" t="inlineStr">
        <is>
          <t>South</t>
        </is>
      </c>
      <c r="E299" s="5" t="n">
        <v>46037</v>
      </c>
      <c r="F299" t="n">
        <v>2999</v>
      </c>
      <c r="G299">
        <f>IF(AND(F299&gt;5000,D299&lt;&gt;"East"),"High-Value Merchant Day","Normal")</f>
        <v/>
      </c>
    </row>
    <row r="300">
      <c r="A300" t="inlineStr">
        <is>
          <t>28_2026-01-16</t>
        </is>
      </c>
      <c r="B300" t="n">
        <v>28</v>
      </c>
      <c r="C300" t="inlineStr">
        <is>
          <t>Merchant_028</t>
        </is>
      </c>
      <c r="D300" t="inlineStr">
        <is>
          <t>South</t>
        </is>
      </c>
      <c r="E300" s="5" t="n">
        <v>46038</v>
      </c>
      <c r="F300" t="n">
        <v>299</v>
      </c>
      <c r="G300">
        <f>IF(AND(F300&gt;5000,D300&lt;&gt;"East"),"High-Value Merchant Day","Normal")</f>
        <v/>
      </c>
    </row>
    <row r="301">
      <c r="A301" t="inlineStr">
        <is>
          <t>28_2026-01-21</t>
        </is>
      </c>
      <c r="B301" t="n">
        <v>28</v>
      </c>
      <c r="C301" t="inlineStr">
        <is>
          <t>Merchant_028</t>
        </is>
      </c>
      <c r="D301" t="inlineStr">
        <is>
          <t>South</t>
        </is>
      </c>
      <c r="E301" s="5" t="n">
        <v>46043</v>
      </c>
      <c r="F301" t="n">
        <v>1999</v>
      </c>
      <c r="G301">
        <f>IF(AND(F301&gt;5000,D301&lt;&gt;"East"),"High-Value Merchant Day","Normal")</f>
        <v/>
      </c>
    </row>
    <row r="302">
      <c r="A302" t="inlineStr">
        <is>
          <t>28_2026-01-22</t>
        </is>
      </c>
      <c r="B302" t="n">
        <v>28</v>
      </c>
      <c r="C302" t="inlineStr">
        <is>
          <t>Merchant_028</t>
        </is>
      </c>
      <c r="D302" t="inlineStr">
        <is>
          <t>South</t>
        </is>
      </c>
      <c r="E302" s="5" t="n">
        <v>46044</v>
      </c>
      <c r="F302" t="n">
        <v>99</v>
      </c>
      <c r="G302">
        <f>IF(AND(F302&gt;5000,D302&lt;&gt;"East"),"High-Value Merchant Day","Normal")</f>
        <v/>
      </c>
    </row>
    <row r="303">
      <c r="A303" t="inlineStr">
        <is>
          <t>28_2026-01-30</t>
        </is>
      </c>
      <c r="B303" t="n">
        <v>28</v>
      </c>
      <c r="C303" t="inlineStr">
        <is>
          <t>Merchant_028</t>
        </is>
      </c>
      <c r="D303" t="inlineStr">
        <is>
          <t>South</t>
        </is>
      </c>
      <c r="E303" s="5" t="n">
        <v>46052</v>
      </c>
      <c r="F303" t="n">
        <v>499</v>
      </c>
      <c r="G303">
        <f>IF(AND(F303&gt;5000,D303&lt;&gt;"East"),"High-Value Merchant Day","Normal")</f>
        <v/>
      </c>
    </row>
    <row r="304">
      <c r="A304" t="inlineStr">
        <is>
          <t>29_2026-01-04</t>
        </is>
      </c>
      <c r="B304" t="n">
        <v>29</v>
      </c>
      <c r="C304" t="inlineStr">
        <is>
          <t>Merchant_029</t>
        </is>
      </c>
      <c r="D304" t="inlineStr">
        <is>
          <t>North</t>
        </is>
      </c>
      <c r="E304" s="5" t="n">
        <v>46026</v>
      </c>
      <c r="F304" t="n">
        <v>99</v>
      </c>
      <c r="G304">
        <f>IF(AND(F304&gt;5000,D304&lt;&gt;"East"),"High-Value Merchant Day","Normal")</f>
        <v/>
      </c>
    </row>
    <row r="305">
      <c r="A305" t="inlineStr">
        <is>
          <t>29_2026-01-05</t>
        </is>
      </c>
      <c r="B305" t="n">
        <v>29</v>
      </c>
      <c r="C305" t="inlineStr">
        <is>
          <t>Merchant_029</t>
        </is>
      </c>
      <c r="D305" t="inlineStr">
        <is>
          <t>North</t>
        </is>
      </c>
      <c r="E305" s="5" t="n">
        <v>46027</v>
      </c>
      <c r="F305" t="n">
        <v>799</v>
      </c>
      <c r="G305">
        <f>IF(AND(F305&gt;5000,D305&lt;&gt;"East"),"High-Value Merchant Day","Normal")</f>
        <v/>
      </c>
    </row>
    <row r="306">
      <c r="A306" t="inlineStr">
        <is>
          <t>29_2026-01-08</t>
        </is>
      </c>
      <c r="B306" t="n">
        <v>29</v>
      </c>
      <c r="C306" t="inlineStr">
        <is>
          <t>Merchant_029</t>
        </is>
      </c>
      <c r="D306" t="inlineStr">
        <is>
          <t>North</t>
        </is>
      </c>
      <c r="E306" s="5" t="n">
        <v>46030</v>
      </c>
      <c r="F306" t="n">
        <v>2999</v>
      </c>
      <c r="G306">
        <f>IF(AND(F306&gt;5000,D306&lt;&gt;"East"),"High-Value Merchant Day","Normal")</f>
        <v/>
      </c>
    </row>
    <row r="307">
      <c r="A307" t="inlineStr">
        <is>
          <t>29_2026-01-09</t>
        </is>
      </c>
      <c r="B307" t="n">
        <v>29</v>
      </c>
      <c r="C307" t="inlineStr">
        <is>
          <t>Merchant_029</t>
        </is>
      </c>
      <c r="D307" t="inlineStr">
        <is>
          <t>North</t>
        </is>
      </c>
      <c r="E307" s="5" t="n">
        <v>46031</v>
      </c>
      <c r="F307" t="n">
        <v>499</v>
      </c>
      <c r="G307">
        <f>IF(AND(F307&gt;5000,D307&lt;&gt;"East"),"High-Value Merchant Day","Normal")</f>
        <v/>
      </c>
    </row>
    <row r="308">
      <c r="A308" t="inlineStr">
        <is>
          <t>29_2026-01-12</t>
        </is>
      </c>
      <c r="B308" t="n">
        <v>29</v>
      </c>
      <c r="C308" t="inlineStr">
        <is>
          <t>Merchant_029</t>
        </is>
      </c>
      <c r="D308" t="inlineStr">
        <is>
          <t>North</t>
        </is>
      </c>
      <c r="E308" s="5" t="n">
        <v>46034</v>
      </c>
      <c r="F308" t="n">
        <v>399</v>
      </c>
      <c r="G308">
        <f>IF(AND(F308&gt;5000,D308&lt;&gt;"East"),"High-Value Merchant Day","Normal")</f>
        <v/>
      </c>
    </row>
    <row r="309">
      <c r="A309" t="inlineStr">
        <is>
          <t>29_2026-01-14</t>
        </is>
      </c>
      <c r="B309" t="n">
        <v>29</v>
      </c>
      <c r="C309" t="inlineStr">
        <is>
          <t>Merchant_029</t>
        </is>
      </c>
      <c r="D309" t="inlineStr">
        <is>
          <t>North</t>
        </is>
      </c>
      <c r="E309" s="5" t="n">
        <v>46036</v>
      </c>
      <c r="F309" t="n">
        <v>1998</v>
      </c>
      <c r="G309">
        <f>IF(AND(F309&gt;5000,D309&lt;&gt;"East"),"High-Value Merchant Day","Normal")</f>
        <v/>
      </c>
    </row>
    <row r="310">
      <c r="A310" t="inlineStr">
        <is>
          <t>29_2026-01-15</t>
        </is>
      </c>
      <c r="B310" t="n">
        <v>29</v>
      </c>
      <c r="C310" t="inlineStr">
        <is>
          <t>Merchant_029</t>
        </is>
      </c>
      <c r="D310" t="inlineStr">
        <is>
          <t>North</t>
        </is>
      </c>
      <c r="E310" s="5" t="n">
        <v>46037</v>
      </c>
      <c r="F310" t="n">
        <v>1098</v>
      </c>
      <c r="G310">
        <f>IF(AND(F310&gt;5000,D310&lt;&gt;"East"),"High-Value Merchant Day","Normal")</f>
        <v/>
      </c>
    </row>
    <row r="311">
      <c r="A311" t="inlineStr">
        <is>
          <t>29_2026-01-17</t>
        </is>
      </c>
      <c r="B311" t="n">
        <v>29</v>
      </c>
      <c r="C311" t="inlineStr">
        <is>
          <t>Merchant_029</t>
        </is>
      </c>
      <c r="D311" t="inlineStr">
        <is>
          <t>North</t>
        </is>
      </c>
      <c r="E311" s="5" t="n">
        <v>46039</v>
      </c>
      <c r="F311" t="n">
        <v>49</v>
      </c>
      <c r="G311">
        <f>IF(AND(F311&gt;5000,D311&lt;&gt;"East"),"High-Value Merchant Day","Normal")</f>
        <v/>
      </c>
    </row>
    <row r="312">
      <c r="A312" t="inlineStr">
        <is>
          <t>29_2026-01-19</t>
        </is>
      </c>
      <c r="B312" t="n">
        <v>29</v>
      </c>
      <c r="C312" t="inlineStr">
        <is>
          <t>Merchant_029</t>
        </is>
      </c>
      <c r="D312" t="inlineStr">
        <is>
          <t>North</t>
        </is>
      </c>
      <c r="E312" s="5" t="n">
        <v>46041</v>
      </c>
      <c r="F312" t="n">
        <v>49</v>
      </c>
      <c r="G312">
        <f>IF(AND(F312&gt;5000,D312&lt;&gt;"East"),"High-Value Merchant Day","Normal")</f>
        <v/>
      </c>
    </row>
    <row r="313">
      <c r="A313" t="inlineStr">
        <is>
          <t>29_2026-01-20</t>
        </is>
      </c>
      <c r="B313" t="n">
        <v>29</v>
      </c>
      <c r="C313" t="inlineStr">
        <is>
          <t>Merchant_029</t>
        </is>
      </c>
      <c r="D313" t="inlineStr">
        <is>
          <t>North</t>
        </is>
      </c>
      <c r="E313" s="5" t="n">
        <v>46042</v>
      </c>
      <c r="F313" t="n">
        <v>149</v>
      </c>
      <c r="G313">
        <f>IF(AND(F313&gt;5000,D313&lt;&gt;"East"),"High-Value Merchant Day","Normal")</f>
        <v/>
      </c>
    </row>
    <row r="314">
      <c r="A314" t="inlineStr">
        <is>
          <t>29_2026-01-25</t>
        </is>
      </c>
      <c r="B314" t="n">
        <v>29</v>
      </c>
      <c r="C314" t="inlineStr">
        <is>
          <t>Merchant_029</t>
        </is>
      </c>
      <c r="D314" t="inlineStr">
        <is>
          <t>North</t>
        </is>
      </c>
      <c r="E314" s="5" t="n">
        <v>46047</v>
      </c>
      <c r="F314" t="n">
        <v>3896</v>
      </c>
      <c r="G314">
        <f>IF(AND(F314&gt;5000,D314&lt;&gt;"East"),"High-Value Merchant Day","Normal")</f>
        <v/>
      </c>
    </row>
    <row r="315">
      <c r="A315" t="inlineStr">
        <is>
          <t>29_2026-01-27</t>
        </is>
      </c>
      <c r="B315" t="n">
        <v>29</v>
      </c>
      <c r="C315" t="inlineStr">
        <is>
          <t>Merchant_029</t>
        </is>
      </c>
      <c r="D315" t="inlineStr">
        <is>
          <t>North</t>
        </is>
      </c>
      <c r="E315" s="5" t="n">
        <v>46049</v>
      </c>
      <c r="F315" t="n">
        <v>898</v>
      </c>
      <c r="G315">
        <f>IF(AND(F315&gt;5000,D315&lt;&gt;"East"),"High-Value Merchant Day","Normal")</f>
        <v/>
      </c>
    </row>
    <row r="316">
      <c r="A316" t="inlineStr">
        <is>
          <t>29_2026-01-28</t>
        </is>
      </c>
      <c r="B316" t="n">
        <v>29</v>
      </c>
      <c r="C316" t="inlineStr">
        <is>
          <t>Merchant_029</t>
        </is>
      </c>
      <c r="D316" t="inlineStr">
        <is>
          <t>North</t>
        </is>
      </c>
      <c r="E316" s="5" t="n">
        <v>46050</v>
      </c>
      <c r="F316" t="n">
        <v>149</v>
      </c>
      <c r="G316">
        <f>IF(AND(F316&gt;5000,D316&lt;&gt;"East"),"High-Value Merchant Day","Normal")</f>
        <v/>
      </c>
    </row>
    <row r="317">
      <c r="A317" t="inlineStr">
        <is>
          <t>30_2026-01-03</t>
        </is>
      </c>
      <c r="B317" t="n">
        <v>30</v>
      </c>
      <c r="C317" t="inlineStr">
        <is>
          <t>Merchant_030</t>
        </is>
      </c>
      <c r="D317" t="inlineStr">
        <is>
          <t>West</t>
        </is>
      </c>
      <c r="E317" s="5" t="n">
        <v>46025</v>
      </c>
      <c r="F317" t="n">
        <v>149</v>
      </c>
      <c r="G317">
        <f>IF(AND(F317&gt;5000,D317&lt;&gt;"East"),"High-Value Merchant Day","Normal")</f>
        <v/>
      </c>
    </row>
    <row r="318">
      <c r="A318" t="inlineStr">
        <is>
          <t>30_2026-01-08</t>
        </is>
      </c>
      <c r="B318" t="n">
        <v>30</v>
      </c>
      <c r="C318" t="inlineStr">
        <is>
          <t>Merchant_030</t>
        </is>
      </c>
      <c r="D318" t="inlineStr">
        <is>
          <t>West</t>
        </is>
      </c>
      <c r="E318" s="5" t="n">
        <v>46030</v>
      </c>
      <c r="F318" t="n">
        <v>1197</v>
      </c>
      <c r="G318">
        <f>IF(AND(F318&gt;5000,D318&lt;&gt;"East"),"High-Value Merchant Day","Normal")</f>
        <v/>
      </c>
    </row>
    <row r="319">
      <c r="A319" t="inlineStr">
        <is>
          <t>30_2026-01-09</t>
        </is>
      </c>
      <c r="B319" t="n">
        <v>30</v>
      </c>
      <c r="C319" t="inlineStr">
        <is>
          <t>Merchant_030</t>
        </is>
      </c>
      <c r="D319" t="inlineStr">
        <is>
          <t>West</t>
        </is>
      </c>
      <c r="E319" s="5" t="n">
        <v>46031</v>
      </c>
      <c r="F319" t="n">
        <v>99</v>
      </c>
      <c r="G319">
        <f>IF(AND(F319&gt;5000,D319&lt;&gt;"East"),"High-Value Merchant Day","Normal")</f>
        <v/>
      </c>
    </row>
    <row r="320">
      <c r="A320" t="inlineStr">
        <is>
          <t>30_2026-01-12</t>
        </is>
      </c>
      <c r="B320" t="n">
        <v>30</v>
      </c>
      <c r="C320" t="inlineStr">
        <is>
          <t>Merchant_030</t>
        </is>
      </c>
      <c r="D320" t="inlineStr">
        <is>
          <t>West</t>
        </is>
      </c>
      <c r="E320" s="5" t="n">
        <v>46034</v>
      </c>
      <c r="F320" t="n">
        <v>499</v>
      </c>
      <c r="G320">
        <f>IF(AND(F320&gt;5000,D320&lt;&gt;"East"),"High-Value Merchant Day","Normal")</f>
        <v/>
      </c>
    </row>
    <row r="321">
      <c r="A321" t="inlineStr">
        <is>
          <t>30_2026-01-13</t>
        </is>
      </c>
      <c r="B321" t="n">
        <v>30</v>
      </c>
      <c r="C321" t="inlineStr">
        <is>
          <t>Merchant_030</t>
        </is>
      </c>
      <c r="D321" t="inlineStr">
        <is>
          <t>West</t>
        </is>
      </c>
      <c r="E321" s="5" t="n">
        <v>46035</v>
      </c>
      <c r="F321" t="n">
        <v>1499</v>
      </c>
      <c r="G321">
        <f>IF(AND(F321&gt;5000,D321&lt;&gt;"East"),"High-Value Merchant Day","Normal")</f>
        <v/>
      </c>
    </row>
    <row r="322">
      <c r="A322" t="inlineStr">
        <is>
          <t>30_2026-01-14</t>
        </is>
      </c>
      <c r="B322" t="n">
        <v>30</v>
      </c>
      <c r="C322" t="inlineStr">
        <is>
          <t>Merchant_030</t>
        </is>
      </c>
      <c r="D322" t="inlineStr">
        <is>
          <t>West</t>
        </is>
      </c>
      <c r="E322" s="5" t="n">
        <v>46036</v>
      </c>
      <c r="F322" t="n">
        <v>2497</v>
      </c>
      <c r="G322">
        <f>IF(AND(F322&gt;5000,D322&lt;&gt;"East"),"High-Value Merchant Day","Normal")</f>
        <v/>
      </c>
    </row>
    <row r="323">
      <c r="A323" t="inlineStr">
        <is>
          <t>30_2026-01-15</t>
        </is>
      </c>
      <c r="B323" t="n">
        <v>30</v>
      </c>
      <c r="C323" t="inlineStr">
        <is>
          <t>Merchant_030</t>
        </is>
      </c>
      <c r="D323" t="inlineStr">
        <is>
          <t>West</t>
        </is>
      </c>
      <c r="E323" s="5" t="n">
        <v>46037</v>
      </c>
      <c r="F323" t="n">
        <v>49</v>
      </c>
      <c r="G323">
        <f>IF(AND(F323&gt;5000,D323&lt;&gt;"East"),"High-Value Merchant Day","Normal")</f>
        <v/>
      </c>
    </row>
    <row r="324">
      <c r="A324" t="inlineStr">
        <is>
          <t>30_2026-01-17</t>
        </is>
      </c>
      <c r="B324" t="n">
        <v>30</v>
      </c>
      <c r="C324" t="inlineStr">
        <is>
          <t>Merchant_030</t>
        </is>
      </c>
      <c r="D324" t="inlineStr">
        <is>
          <t>West</t>
        </is>
      </c>
      <c r="E324" s="5" t="n">
        <v>46039</v>
      </c>
      <c r="F324" t="n">
        <v>49</v>
      </c>
      <c r="G324">
        <f>IF(AND(F324&gt;5000,D324&lt;&gt;"East"),"High-Value Merchant Day","Normal")</f>
        <v/>
      </c>
    </row>
    <row r="325">
      <c r="A325" t="inlineStr">
        <is>
          <t>30_2026-01-18</t>
        </is>
      </c>
      <c r="B325" t="n">
        <v>30</v>
      </c>
      <c r="C325" t="inlineStr">
        <is>
          <t>Merchant_030</t>
        </is>
      </c>
      <c r="D325" t="inlineStr">
        <is>
          <t>West</t>
        </is>
      </c>
      <c r="E325" s="5" t="n">
        <v>46040</v>
      </c>
      <c r="F325" t="n">
        <v>799</v>
      </c>
      <c r="G325">
        <f>IF(AND(F325&gt;5000,D325&lt;&gt;"East"),"High-Value Merchant Day","Normal")</f>
        <v/>
      </c>
    </row>
    <row r="326">
      <c r="A326" t="inlineStr">
        <is>
          <t>30_2026-01-26</t>
        </is>
      </c>
      <c r="B326" t="n">
        <v>30</v>
      </c>
      <c r="C326" t="inlineStr">
        <is>
          <t>Merchant_030</t>
        </is>
      </c>
      <c r="D326" t="inlineStr">
        <is>
          <t>West</t>
        </is>
      </c>
      <c r="E326" s="5" t="n">
        <v>46048</v>
      </c>
      <c r="F326" t="n">
        <v>799</v>
      </c>
      <c r="G326">
        <f>IF(AND(F326&gt;5000,D326&lt;&gt;"East"),"High-Value Merchant Day","Normal")</f>
        <v/>
      </c>
    </row>
    <row r="327">
      <c r="A327" t="inlineStr">
        <is>
          <t>30_2026-01-28</t>
        </is>
      </c>
      <c r="B327" t="n">
        <v>30</v>
      </c>
      <c r="C327" t="inlineStr">
        <is>
          <t>Merchant_030</t>
        </is>
      </c>
      <c r="D327" t="inlineStr">
        <is>
          <t>West</t>
        </is>
      </c>
      <c r="E327" s="5" t="n">
        <v>46050</v>
      </c>
      <c r="F327" t="n">
        <v>49</v>
      </c>
      <c r="G327">
        <f>IF(AND(F327&gt;5000,D327&lt;&gt;"East"),"High-Value Merchant Day","Normal")</f>
        <v/>
      </c>
    </row>
    <row r="328">
      <c r="A328" t="inlineStr">
        <is>
          <t>30_2026-01-29</t>
        </is>
      </c>
      <c r="B328" t="n">
        <v>30</v>
      </c>
      <c r="C328" t="inlineStr">
        <is>
          <t>Merchant_030</t>
        </is>
      </c>
      <c r="D328" t="inlineStr">
        <is>
          <t>West</t>
        </is>
      </c>
      <c r="E328" s="5" t="n">
        <v>46051</v>
      </c>
      <c r="F328" t="n">
        <v>149</v>
      </c>
      <c r="G328">
        <f>IF(AND(F328&gt;5000,D328&lt;&gt;"East"),"High-Value Merchant Day","Normal")</f>
        <v/>
      </c>
    </row>
    <row r="329">
      <c r="A329" t="inlineStr">
        <is>
          <t>30_2026-01-30</t>
        </is>
      </c>
      <c r="B329" t="n">
        <v>30</v>
      </c>
      <c r="C329" t="inlineStr">
        <is>
          <t>Merchant_030</t>
        </is>
      </c>
      <c r="D329" t="inlineStr">
        <is>
          <t>West</t>
        </is>
      </c>
      <c r="E329" s="5" t="n">
        <v>46052</v>
      </c>
      <c r="F329" t="n">
        <v>49</v>
      </c>
      <c r="G329">
        <f>IF(AND(F329&gt;5000,D329&lt;&gt;"East"),"High-Value Merchant Day","Normal")</f>
        <v/>
      </c>
    </row>
    <row r="330">
      <c r="A330" t="inlineStr">
        <is>
          <t>31_2026-01-05</t>
        </is>
      </c>
      <c r="B330" t="n">
        <v>31</v>
      </c>
      <c r="C330" t="inlineStr">
        <is>
          <t>Merchant_031</t>
        </is>
      </c>
      <c r="D330" t="inlineStr">
        <is>
          <t>East</t>
        </is>
      </c>
      <c r="E330" s="5" t="n">
        <v>46027</v>
      </c>
      <c r="F330" t="n">
        <v>49</v>
      </c>
      <c r="G330">
        <f>IF(AND(F330&gt;5000,D330&lt;&gt;"East"),"High-Value Merchant Day","Normal")</f>
        <v/>
      </c>
    </row>
    <row r="331">
      <c r="A331" t="inlineStr">
        <is>
          <t>31_2026-01-07</t>
        </is>
      </c>
      <c r="B331" t="n">
        <v>31</v>
      </c>
      <c r="C331" t="inlineStr">
        <is>
          <t>Merchant_031</t>
        </is>
      </c>
      <c r="D331" t="inlineStr">
        <is>
          <t>East</t>
        </is>
      </c>
      <c r="E331" s="5" t="n">
        <v>46029</v>
      </c>
      <c r="F331" t="n">
        <v>49</v>
      </c>
      <c r="G331">
        <f>IF(AND(F331&gt;5000,D331&lt;&gt;"East"),"High-Value Merchant Day","Normal")</f>
        <v/>
      </c>
    </row>
    <row r="332">
      <c r="A332" t="inlineStr">
        <is>
          <t>31_2026-01-09</t>
        </is>
      </c>
      <c r="B332" t="n">
        <v>31</v>
      </c>
      <c r="C332" t="inlineStr">
        <is>
          <t>Merchant_031</t>
        </is>
      </c>
      <c r="D332" t="inlineStr">
        <is>
          <t>East</t>
        </is>
      </c>
      <c r="E332" s="5" t="n">
        <v>46031</v>
      </c>
      <c r="F332" t="n">
        <v>1499</v>
      </c>
      <c r="G332">
        <f>IF(AND(F332&gt;5000,D332&lt;&gt;"East"),"High-Value Merchant Day","Normal")</f>
        <v/>
      </c>
    </row>
    <row r="333">
      <c r="A333" t="inlineStr">
        <is>
          <t>31_2026-01-10</t>
        </is>
      </c>
      <c r="B333" t="n">
        <v>31</v>
      </c>
      <c r="C333" t="inlineStr">
        <is>
          <t>Merchant_031</t>
        </is>
      </c>
      <c r="D333" t="inlineStr">
        <is>
          <t>East</t>
        </is>
      </c>
      <c r="E333" s="5" t="n">
        <v>46032</v>
      </c>
      <c r="F333" t="n">
        <v>499</v>
      </c>
      <c r="G333">
        <f>IF(AND(F333&gt;5000,D333&lt;&gt;"East"),"High-Value Merchant Day","Normal")</f>
        <v/>
      </c>
    </row>
    <row r="334">
      <c r="A334" t="inlineStr">
        <is>
          <t>31_2026-01-12</t>
        </is>
      </c>
      <c r="B334" t="n">
        <v>31</v>
      </c>
      <c r="C334" t="inlineStr">
        <is>
          <t>Merchant_031</t>
        </is>
      </c>
      <c r="D334" t="inlineStr">
        <is>
          <t>East</t>
        </is>
      </c>
      <c r="E334" s="5" t="n">
        <v>46034</v>
      </c>
      <c r="F334" t="n">
        <v>598</v>
      </c>
      <c r="G334">
        <f>IF(AND(F334&gt;5000,D334&lt;&gt;"East"),"High-Value Merchant Day","Normal")</f>
        <v/>
      </c>
    </row>
    <row r="335">
      <c r="A335" t="inlineStr">
        <is>
          <t>31_2026-01-13</t>
        </is>
      </c>
      <c r="B335" t="n">
        <v>31</v>
      </c>
      <c r="C335" t="inlineStr">
        <is>
          <t>Merchant_031</t>
        </is>
      </c>
      <c r="D335" t="inlineStr">
        <is>
          <t>East</t>
        </is>
      </c>
      <c r="E335" s="5" t="n">
        <v>46035</v>
      </c>
      <c r="F335" t="n">
        <v>299</v>
      </c>
      <c r="G335">
        <f>IF(AND(F335&gt;5000,D335&lt;&gt;"East"),"High-Value Merchant Day","Normal")</f>
        <v/>
      </c>
    </row>
    <row r="336">
      <c r="A336" t="inlineStr">
        <is>
          <t>31_2026-01-14</t>
        </is>
      </c>
      <c r="B336" t="n">
        <v>31</v>
      </c>
      <c r="C336" t="inlineStr">
        <is>
          <t>Merchant_031</t>
        </is>
      </c>
      <c r="D336" t="inlineStr">
        <is>
          <t>East</t>
        </is>
      </c>
      <c r="E336" s="5" t="n">
        <v>46036</v>
      </c>
      <c r="F336" t="n">
        <v>499</v>
      </c>
      <c r="G336">
        <f>IF(AND(F336&gt;5000,D336&lt;&gt;"East"),"High-Value Merchant Day","Normal")</f>
        <v/>
      </c>
    </row>
    <row r="337">
      <c r="A337" t="inlineStr">
        <is>
          <t>31_2026-01-15</t>
        </is>
      </c>
      <c r="B337" t="n">
        <v>31</v>
      </c>
      <c r="C337" t="inlineStr">
        <is>
          <t>Merchant_031</t>
        </is>
      </c>
      <c r="D337" t="inlineStr">
        <is>
          <t>East</t>
        </is>
      </c>
      <c r="E337" s="5" t="n">
        <v>46037</v>
      </c>
      <c r="F337" t="n">
        <v>299</v>
      </c>
      <c r="G337">
        <f>IF(AND(F337&gt;5000,D337&lt;&gt;"East"),"High-Value Merchant Day","Normal")</f>
        <v/>
      </c>
    </row>
    <row r="338">
      <c r="A338" t="inlineStr">
        <is>
          <t>31_2026-01-16</t>
        </is>
      </c>
      <c r="B338" t="n">
        <v>31</v>
      </c>
      <c r="C338" t="inlineStr">
        <is>
          <t>Merchant_031</t>
        </is>
      </c>
      <c r="D338" t="inlineStr">
        <is>
          <t>East</t>
        </is>
      </c>
      <c r="E338" s="5" t="n">
        <v>46038</v>
      </c>
      <c r="F338" t="n">
        <v>499</v>
      </c>
      <c r="G338">
        <f>IF(AND(F338&gt;5000,D338&lt;&gt;"East"),"High-Value Merchant Day","Normal")</f>
        <v/>
      </c>
    </row>
    <row r="339">
      <c r="A339" t="inlineStr">
        <is>
          <t>31_2026-01-18</t>
        </is>
      </c>
      <c r="B339" t="n">
        <v>31</v>
      </c>
      <c r="C339" t="inlineStr">
        <is>
          <t>Merchant_031</t>
        </is>
      </c>
      <c r="D339" t="inlineStr">
        <is>
          <t>East</t>
        </is>
      </c>
      <c r="E339" s="5" t="n">
        <v>46040</v>
      </c>
      <c r="F339" t="n">
        <v>49</v>
      </c>
      <c r="G339">
        <f>IF(AND(F339&gt;5000,D339&lt;&gt;"East"),"High-Value Merchant Day","Normal")</f>
        <v/>
      </c>
    </row>
    <row r="340">
      <c r="A340" t="inlineStr">
        <is>
          <t>31_2026-01-21</t>
        </is>
      </c>
      <c r="B340" t="n">
        <v>31</v>
      </c>
      <c r="C340" t="inlineStr">
        <is>
          <t>Merchant_031</t>
        </is>
      </c>
      <c r="D340" t="inlineStr">
        <is>
          <t>East</t>
        </is>
      </c>
      <c r="E340" s="5" t="n">
        <v>46043</v>
      </c>
      <c r="F340" t="n">
        <v>49</v>
      </c>
      <c r="G340">
        <f>IF(AND(F340&gt;5000,D340&lt;&gt;"East"),"High-Value Merchant Day","Normal")</f>
        <v/>
      </c>
    </row>
    <row r="341">
      <c r="A341" t="inlineStr">
        <is>
          <t>31_2026-01-22</t>
        </is>
      </c>
      <c r="B341" t="n">
        <v>31</v>
      </c>
      <c r="C341" t="inlineStr">
        <is>
          <t>Merchant_031</t>
        </is>
      </c>
      <c r="D341" t="inlineStr">
        <is>
          <t>East</t>
        </is>
      </c>
      <c r="E341" s="5" t="n">
        <v>46044</v>
      </c>
      <c r="F341" t="n">
        <v>99</v>
      </c>
      <c r="G341">
        <f>IF(AND(F341&gt;5000,D341&lt;&gt;"East"),"High-Value Merchant Day","Normal")</f>
        <v/>
      </c>
    </row>
    <row r="342">
      <c r="A342" t="inlineStr">
        <is>
          <t>31_2026-01-28</t>
        </is>
      </c>
      <c r="B342" t="n">
        <v>31</v>
      </c>
      <c r="C342" t="inlineStr">
        <is>
          <t>Merchant_031</t>
        </is>
      </c>
      <c r="D342" t="inlineStr">
        <is>
          <t>East</t>
        </is>
      </c>
      <c r="E342" s="5" t="n">
        <v>46050</v>
      </c>
      <c r="F342" t="n">
        <v>299</v>
      </c>
      <c r="G342">
        <f>IF(AND(F342&gt;5000,D342&lt;&gt;"East"),"High-Value Merchant Day","Normal")</f>
        <v/>
      </c>
    </row>
    <row r="343">
      <c r="A343" t="inlineStr">
        <is>
          <t>31_2026-01-29</t>
        </is>
      </c>
      <c r="B343" t="n">
        <v>31</v>
      </c>
      <c r="C343" t="inlineStr">
        <is>
          <t>Merchant_031</t>
        </is>
      </c>
      <c r="D343" t="inlineStr">
        <is>
          <t>East</t>
        </is>
      </c>
      <c r="E343" s="5" t="n">
        <v>46051</v>
      </c>
      <c r="F343" t="n">
        <v>49</v>
      </c>
      <c r="G343">
        <f>IF(AND(F343&gt;5000,D343&lt;&gt;"East"),"High-Value Merchant Day","Normal")</f>
        <v/>
      </c>
    </row>
    <row r="344">
      <c r="A344" t="inlineStr">
        <is>
          <t>32_2026-01-03</t>
        </is>
      </c>
      <c r="B344" t="n">
        <v>32</v>
      </c>
      <c r="C344" t="inlineStr">
        <is>
          <t>Merchant_032</t>
        </is>
      </c>
      <c r="D344" t="inlineStr">
        <is>
          <t>West</t>
        </is>
      </c>
      <c r="E344" s="5" t="n">
        <v>46025</v>
      </c>
      <c r="F344" t="n">
        <v>149</v>
      </c>
      <c r="G344">
        <f>IF(AND(F344&gt;5000,D344&lt;&gt;"East"),"High-Value Merchant Day","Normal")</f>
        <v/>
      </c>
    </row>
    <row r="345">
      <c r="A345" t="inlineStr">
        <is>
          <t>32_2026-01-04</t>
        </is>
      </c>
      <c r="B345" t="n">
        <v>32</v>
      </c>
      <c r="C345" t="inlineStr">
        <is>
          <t>Merchant_032</t>
        </is>
      </c>
      <c r="D345" t="inlineStr">
        <is>
          <t>West</t>
        </is>
      </c>
      <c r="E345" s="5" t="n">
        <v>46026</v>
      </c>
      <c r="F345" t="n">
        <v>49</v>
      </c>
      <c r="G345">
        <f>IF(AND(F345&gt;5000,D345&lt;&gt;"East"),"High-Value Merchant Day","Normal")</f>
        <v/>
      </c>
    </row>
    <row r="346">
      <c r="A346" t="inlineStr">
        <is>
          <t>32_2026-01-06</t>
        </is>
      </c>
      <c r="B346" t="n">
        <v>32</v>
      </c>
      <c r="C346" t="inlineStr">
        <is>
          <t>Merchant_032</t>
        </is>
      </c>
      <c r="D346" t="inlineStr">
        <is>
          <t>West</t>
        </is>
      </c>
      <c r="E346" s="5" t="n">
        <v>46028</v>
      </c>
      <c r="F346" t="n">
        <v>149</v>
      </c>
      <c r="G346">
        <f>IF(AND(F346&gt;5000,D346&lt;&gt;"East"),"High-Value Merchant Day","Normal")</f>
        <v/>
      </c>
    </row>
    <row r="347">
      <c r="A347" t="inlineStr">
        <is>
          <t>32_2026-01-09</t>
        </is>
      </c>
      <c r="B347" t="n">
        <v>32</v>
      </c>
      <c r="C347" t="inlineStr">
        <is>
          <t>Merchant_032</t>
        </is>
      </c>
      <c r="D347" t="inlineStr">
        <is>
          <t>West</t>
        </is>
      </c>
      <c r="E347" s="5" t="n">
        <v>46031</v>
      </c>
      <c r="F347" t="n">
        <v>499</v>
      </c>
      <c r="G347">
        <f>IF(AND(F347&gt;5000,D347&lt;&gt;"East"),"High-Value Merchant Day","Normal")</f>
        <v/>
      </c>
    </row>
    <row r="348">
      <c r="A348" t="inlineStr">
        <is>
          <t>32_2026-01-13</t>
        </is>
      </c>
      <c r="B348" t="n">
        <v>32</v>
      </c>
      <c r="C348" t="inlineStr">
        <is>
          <t>Merchant_032</t>
        </is>
      </c>
      <c r="D348" t="inlineStr">
        <is>
          <t>West</t>
        </is>
      </c>
      <c r="E348" s="5" t="n">
        <v>46035</v>
      </c>
      <c r="F348" t="n">
        <v>1999</v>
      </c>
      <c r="G348">
        <f>IF(AND(F348&gt;5000,D348&lt;&gt;"East"),"High-Value Merchant Day","Normal")</f>
        <v/>
      </c>
    </row>
    <row r="349">
      <c r="A349" t="inlineStr">
        <is>
          <t>32_2026-01-15</t>
        </is>
      </c>
      <c r="B349" t="n">
        <v>32</v>
      </c>
      <c r="C349" t="inlineStr">
        <is>
          <t>Merchant_032</t>
        </is>
      </c>
      <c r="D349" t="inlineStr">
        <is>
          <t>West</t>
        </is>
      </c>
      <c r="E349" s="5" t="n">
        <v>46037</v>
      </c>
      <c r="F349" t="n">
        <v>148</v>
      </c>
      <c r="G349">
        <f>IF(AND(F349&gt;5000,D349&lt;&gt;"East"),"High-Value Merchant Day","Normal")</f>
        <v/>
      </c>
    </row>
    <row r="350">
      <c r="A350" t="inlineStr">
        <is>
          <t>32_2026-01-18</t>
        </is>
      </c>
      <c r="B350" t="n">
        <v>32</v>
      </c>
      <c r="C350" t="inlineStr">
        <is>
          <t>Merchant_032</t>
        </is>
      </c>
      <c r="D350" t="inlineStr">
        <is>
          <t>West</t>
        </is>
      </c>
      <c r="E350" s="5" t="n">
        <v>46040</v>
      </c>
      <c r="F350" t="n">
        <v>149</v>
      </c>
      <c r="G350">
        <f>IF(AND(F350&gt;5000,D350&lt;&gt;"East"),"High-Value Merchant Day","Normal")</f>
        <v/>
      </c>
    </row>
    <row r="351">
      <c r="A351" t="inlineStr">
        <is>
          <t>32_2026-01-21</t>
        </is>
      </c>
      <c r="B351" t="n">
        <v>32</v>
      </c>
      <c r="C351" t="inlineStr">
        <is>
          <t>Merchant_032</t>
        </is>
      </c>
      <c r="D351" t="inlineStr">
        <is>
          <t>West</t>
        </is>
      </c>
      <c r="E351" s="5" t="n">
        <v>46043</v>
      </c>
      <c r="F351" t="n">
        <v>348</v>
      </c>
      <c r="G351">
        <f>IF(AND(F351&gt;5000,D351&lt;&gt;"East"),"High-Value Merchant Day","Normal")</f>
        <v/>
      </c>
    </row>
    <row r="352">
      <c r="A352" t="inlineStr">
        <is>
          <t>32_2026-01-24</t>
        </is>
      </c>
      <c r="B352" t="n">
        <v>32</v>
      </c>
      <c r="C352" t="inlineStr">
        <is>
          <t>Merchant_032</t>
        </is>
      </c>
      <c r="D352" t="inlineStr">
        <is>
          <t>West</t>
        </is>
      </c>
      <c r="E352" s="5" t="n">
        <v>46046</v>
      </c>
      <c r="F352" t="n">
        <v>49</v>
      </c>
      <c r="G352">
        <f>IF(AND(F352&gt;5000,D352&lt;&gt;"East"),"High-Value Merchant Day","Normal")</f>
        <v/>
      </c>
    </row>
    <row r="353">
      <c r="A353" t="inlineStr">
        <is>
          <t>32_2026-01-25</t>
        </is>
      </c>
      <c r="B353" t="n">
        <v>32</v>
      </c>
      <c r="C353" t="inlineStr">
        <is>
          <t>Merchant_032</t>
        </is>
      </c>
      <c r="D353" t="inlineStr">
        <is>
          <t>West</t>
        </is>
      </c>
      <c r="E353" s="5" t="n">
        <v>46047</v>
      </c>
      <c r="F353" t="n">
        <v>49</v>
      </c>
      <c r="G353">
        <f>IF(AND(F353&gt;5000,D353&lt;&gt;"East"),"High-Value Merchant Day","Normal")</f>
        <v/>
      </c>
    </row>
    <row r="354">
      <c r="A354" t="inlineStr">
        <is>
          <t>32_2026-01-27</t>
        </is>
      </c>
      <c r="B354" t="n">
        <v>32</v>
      </c>
      <c r="C354" t="inlineStr">
        <is>
          <t>Merchant_032</t>
        </is>
      </c>
      <c r="D354" t="inlineStr">
        <is>
          <t>West</t>
        </is>
      </c>
      <c r="E354" s="5" t="n">
        <v>46049</v>
      </c>
      <c r="F354" t="n">
        <v>1499</v>
      </c>
      <c r="G354">
        <f>IF(AND(F354&gt;5000,D354&lt;&gt;"East"),"High-Value Merchant Day","Normal")</f>
        <v/>
      </c>
    </row>
    <row r="355">
      <c r="A355" t="inlineStr">
        <is>
          <t>32_2026-01-28</t>
        </is>
      </c>
      <c r="B355" t="n">
        <v>32</v>
      </c>
      <c r="C355" t="inlineStr">
        <is>
          <t>Merchant_032</t>
        </is>
      </c>
      <c r="D355" t="inlineStr">
        <is>
          <t>West</t>
        </is>
      </c>
      <c r="E355" s="5" t="n">
        <v>46050</v>
      </c>
      <c r="F355" t="n">
        <v>2999</v>
      </c>
      <c r="G355">
        <f>IF(AND(F355&gt;5000,D355&lt;&gt;"East"),"High-Value Merchant Day","Normal")</f>
        <v/>
      </c>
    </row>
    <row r="356">
      <c r="A356" t="inlineStr">
        <is>
          <t>33_2026-01-03</t>
        </is>
      </c>
      <c r="B356" t="n">
        <v>33</v>
      </c>
      <c r="C356" t="inlineStr">
        <is>
          <t>Merchant_033</t>
        </is>
      </c>
      <c r="D356" t="inlineStr">
        <is>
          <t>East</t>
        </is>
      </c>
      <c r="E356" s="5" t="n">
        <v>46025</v>
      </c>
      <c r="F356" t="n">
        <v>149</v>
      </c>
      <c r="G356">
        <f>IF(AND(F356&gt;5000,D356&lt;&gt;"East"),"High-Value Merchant Day","Normal")</f>
        <v/>
      </c>
    </row>
    <row r="357">
      <c r="A357" t="inlineStr">
        <is>
          <t>33_2026-01-04</t>
        </is>
      </c>
      <c r="B357" t="n">
        <v>33</v>
      </c>
      <c r="C357" t="inlineStr">
        <is>
          <t>Merchant_033</t>
        </is>
      </c>
      <c r="D357" t="inlineStr">
        <is>
          <t>East</t>
        </is>
      </c>
      <c r="E357" s="5" t="n">
        <v>46026</v>
      </c>
      <c r="F357" t="n">
        <v>4999</v>
      </c>
      <c r="G357">
        <f>IF(AND(F357&gt;5000,D357&lt;&gt;"East"),"High-Value Merchant Day","Normal")</f>
        <v/>
      </c>
    </row>
    <row r="358">
      <c r="A358" t="inlineStr">
        <is>
          <t>33_2026-01-12</t>
        </is>
      </c>
      <c r="B358" t="n">
        <v>33</v>
      </c>
      <c r="C358" t="inlineStr">
        <is>
          <t>Merchant_033</t>
        </is>
      </c>
      <c r="D358" t="inlineStr">
        <is>
          <t>East</t>
        </is>
      </c>
      <c r="E358" s="5" t="n">
        <v>46034</v>
      </c>
      <c r="F358" t="n">
        <v>299</v>
      </c>
      <c r="G358">
        <f>IF(AND(F358&gt;5000,D358&lt;&gt;"East"),"High-Value Merchant Day","Normal")</f>
        <v/>
      </c>
    </row>
    <row r="359">
      <c r="A359" t="inlineStr">
        <is>
          <t>33_2026-01-15</t>
        </is>
      </c>
      <c r="B359" t="n">
        <v>33</v>
      </c>
      <c r="C359" t="inlineStr">
        <is>
          <t>Merchant_033</t>
        </is>
      </c>
      <c r="D359" t="inlineStr">
        <is>
          <t>East</t>
        </is>
      </c>
      <c r="E359" s="5" t="n">
        <v>46037</v>
      </c>
      <c r="F359" t="n">
        <v>799</v>
      </c>
      <c r="G359">
        <f>IF(AND(F359&gt;5000,D359&lt;&gt;"East"),"High-Value Merchant Day","Normal")</f>
        <v/>
      </c>
    </row>
    <row r="360">
      <c r="A360" t="inlineStr">
        <is>
          <t>33_2026-01-20</t>
        </is>
      </c>
      <c r="B360" t="n">
        <v>33</v>
      </c>
      <c r="C360" t="inlineStr">
        <is>
          <t>Merchant_033</t>
        </is>
      </c>
      <c r="D360" t="inlineStr">
        <is>
          <t>East</t>
        </is>
      </c>
      <c r="E360" s="5" t="n">
        <v>46042</v>
      </c>
      <c r="F360" t="n">
        <v>499</v>
      </c>
      <c r="G360">
        <f>IF(AND(F360&gt;5000,D360&lt;&gt;"East"),"High-Value Merchant Day","Normal")</f>
        <v/>
      </c>
    </row>
    <row r="361">
      <c r="A361" t="inlineStr">
        <is>
          <t>33_2026-01-21</t>
        </is>
      </c>
      <c r="B361" t="n">
        <v>33</v>
      </c>
      <c r="C361" t="inlineStr">
        <is>
          <t>Merchant_033</t>
        </is>
      </c>
      <c r="D361" t="inlineStr">
        <is>
          <t>East</t>
        </is>
      </c>
      <c r="E361" s="5" t="n">
        <v>46043</v>
      </c>
      <c r="F361" t="n">
        <v>3298</v>
      </c>
      <c r="G361">
        <f>IF(AND(F361&gt;5000,D361&lt;&gt;"East"),"High-Value Merchant Day","Normal")</f>
        <v/>
      </c>
    </row>
    <row r="362">
      <c r="A362" t="inlineStr">
        <is>
          <t>33_2026-01-22</t>
        </is>
      </c>
      <c r="B362" t="n">
        <v>33</v>
      </c>
      <c r="C362" t="inlineStr">
        <is>
          <t>Merchant_033</t>
        </is>
      </c>
      <c r="D362" t="inlineStr">
        <is>
          <t>East</t>
        </is>
      </c>
      <c r="E362" s="5" t="n">
        <v>46044</v>
      </c>
      <c r="F362" t="n">
        <v>99</v>
      </c>
      <c r="G362">
        <f>IF(AND(F362&gt;5000,D362&lt;&gt;"East"),"High-Value Merchant Day","Normal")</f>
        <v/>
      </c>
    </row>
    <row r="363">
      <c r="A363" t="inlineStr">
        <is>
          <t>33_2026-01-23</t>
        </is>
      </c>
      <c r="B363" t="n">
        <v>33</v>
      </c>
      <c r="C363" t="inlineStr">
        <is>
          <t>Merchant_033</t>
        </is>
      </c>
      <c r="D363" t="inlineStr">
        <is>
          <t>East</t>
        </is>
      </c>
      <c r="E363" s="5" t="n">
        <v>46045</v>
      </c>
      <c r="F363" t="n">
        <v>49</v>
      </c>
      <c r="G363">
        <f>IF(AND(F363&gt;5000,D363&lt;&gt;"East"),"High-Value Merchant Day","Normal")</f>
        <v/>
      </c>
    </row>
    <row r="364">
      <c r="A364" t="inlineStr">
        <is>
          <t>33_2026-01-24</t>
        </is>
      </c>
      <c r="B364" t="n">
        <v>33</v>
      </c>
      <c r="C364" t="inlineStr">
        <is>
          <t>Merchant_033</t>
        </is>
      </c>
      <c r="D364" t="inlineStr">
        <is>
          <t>East</t>
        </is>
      </c>
      <c r="E364" s="5" t="n">
        <v>46046</v>
      </c>
      <c r="F364" t="n">
        <v>49</v>
      </c>
      <c r="G364">
        <f>IF(AND(F364&gt;5000,D364&lt;&gt;"East"),"High-Value Merchant Day","Normal")</f>
        <v/>
      </c>
    </row>
    <row r="365">
      <c r="A365" t="inlineStr">
        <is>
          <t>33_2026-01-25</t>
        </is>
      </c>
      <c r="B365" t="n">
        <v>33</v>
      </c>
      <c r="C365" t="inlineStr">
        <is>
          <t>Merchant_033</t>
        </is>
      </c>
      <c r="D365" t="inlineStr">
        <is>
          <t>East</t>
        </is>
      </c>
      <c r="E365" s="5" t="n">
        <v>46047</v>
      </c>
      <c r="F365" t="n">
        <v>99</v>
      </c>
      <c r="G365">
        <f>IF(AND(F365&gt;5000,D365&lt;&gt;"East"),"High-Value Merchant Day","Normal")</f>
        <v/>
      </c>
    </row>
    <row r="366">
      <c r="A366" t="inlineStr">
        <is>
          <t>34_2026-01-02</t>
        </is>
      </c>
      <c r="B366" t="n">
        <v>34</v>
      </c>
      <c r="C366" t="inlineStr">
        <is>
          <t>Merchant_034</t>
        </is>
      </c>
      <c r="D366" t="inlineStr">
        <is>
          <t>South</t>
        </is>
      </c>
      <c r="E366" s="5" t="n">
        <v>46024</v>
      </c>
      <c r="F366" t="n">
        <v>548</v>
      </c>
      <c r="G366">
        <f>IF(AND(F366&gt;5000,D366&lt;&gt;"East"),"High-Value Merchant Day","Normal")</f>
        <v/>
      </c>
    </row>
    <row r="367">
      <c r="A367" t="inlineStr">
        <is>
          <t>34_2026-01-05</t>
        </is>
      </c>
      <c r="B367" t="n">
        <v>34</v>
      </c>
      <c r="C367" t="inlineStr">
        <is>
          <t>Merchant_034</t>
        </is>
      </c>
      <c r="D367" t="inlineStr">
        <is>
          <t>South</t>
        </is>
      </c>
      <c r="E367" s="5" t="n">
        <v>46027</v>
      </c>
      <c r="F367" t="n">
        <v>2999</v>
      </c>
      <c r="G367">
        <f>IF(AND(F367&gt;5000,D367&lt;&gt;"East"),"High-Value Merchant Day","Normal")</f>
        <v/>
      </c>
    </row>
    <row r="368">
      <c r="A368" t="inlineStr">
        <is>
          <t>34_2026-01-09</t>
        </is>
      </c>
      <c r="B368" t="n">
        <v>34</v>
      </c>
      <c r="C368" t="inlineStr">
        <is>
          <t>Merchant_034</t>
        </is>
      </c>
      <c r="D368" t="inlineStr">
        <is>
          <t>South</t>
        </is>
      </c>
      <c r="E368" s="5" t="n">
        <v>46031</v>
      </c>
      <c r="F368" t="n">
        <v>299</v>
      </c>
      <c r="G368">
        <f>IF(AND(F368&gt;5000,D368&lt;&gt;"East"),"High-Value Merchant Day","Normal")</f>
        <v/>
      </c>
    </row>
    <row r="369">
      <c r="A369" t="inlineStr">
        <is>
          <t>34_2026-01-10</t>
        </is>
      </c>
      <c r="B369" t="n">
        <v>34</v>
      </c>
      <c r="C369" t="inlineStr">
        <is>
          <t>Merchant_034</t>
        </is>
      </c>
      <c r="D369" t="inlineStr">
        <is>
          <t>South</t>
        </is>
      </c>
      <c r="E369" s="5" t="n">
        <v>46032</v>
      </c>
      <c r="F369" t="n">
        <v>49</v>
      </c>
      <c r="G369">
        <f>IF(AND(F369&gt;5000,D369&lt;&gt;"East"),"High-Value Merchant Day","Normal")</f>
        <v/>
      </c>
    </row>
    <row r="370">
      <c r="A370" t="inlineStr">
        <is>
          <t>34_2026-01-12</t>
        </is>
      </c>
      <c r="B370" t="n">
        <v>34</v>
      </c>
      <c r="C370" t="inlineStr">
        <is>
          <t>Merchant_034</t>
        </is>
      </c>
      <c r="D370" t="inlineStr">
        <is>
          <t>South</t>
        </is>
      </c>
      <c r="E370" s="5" t="n">
        <v>46034</v>
      </c>
      <c r="F370" t="n">
        <v>399</v>
      </c>
      <c r="G370">
        <f>IF(AND(F370&gt;5000,D370&lt;&gt;"East"),"High-Value Merchant Day","Normal")</f>
        <v/>
      </c>
    </row>
    <row r="371">
      <c r="A371" t="inlineStr">
        <is>
          <t>34_2026-01-17</t>
        </is>
      </c>
      <c r="B371" t="n">
        <v>34</v>
      </c>
      <c r="C371" t="inlineStr">
        <is>
          <t>Merchant_034</t>
        </is>
      </c>
      <c r="D371" t="inlineStr">
        <is>
          <t>South</t>
        </is>
      </c>
      <c r="E371" s="5" t="n">
        <v>46039</v>
      </c>
      <c r="F371" t="n">
        <v>299</v>
      </c>
      <c r="G371">
        <f>IF(AND(F371&gt;5000,D371&lt;&gt;"East"),"High-Value Merchant Day","Normal")</f>
        <v/>
      </c>
    </row>
    <row r="372">
      <c r="A372" t="inlineStr">
        <is>
          <t>34_2026-01-18</t>
        </is>
      </c>
      <c r="B372" t="n">
        <v>34</v>
      </c>
      <c r="C372" t="inlineStr">
        <is>
          <t>Merchant_034</t>
        </is>
      </c>
      <c r="D372" t="inlineStr">
        <is>
          <t>South</t>
        </is>
      </c>
      <c r="E372" s="5" t="n">
        <v>46040</v>
      </c>
      <c r="F372" t="n">
        <v>148</v>
      </c>
      <c r="G372">
        <f>IF(AND(F372&gt;5000,D372&lt;&gt;"East"),"High-Value Merchant Day","Normal")</f>
        <v/>
      </c>
    </row>
    <row r="373">
      <c r="A373" t="inlineStr">
        <is>
          <t>34_2026-01-19</t>
        </is>
      </c>
      <c r="B373" t="n">
        <v>34</v>
      </c>
      <c r="C373" t="inlineStr">
        <is>
          <t>Merchant_034</t>
        </is>
      </c>
      <c r="D373" t="inlineStr">
        <is>
          <t>South</t>
        </is>
      </c>
      <c r="E373" s="5" t="n">
        <v>46041</v>
      </c>
      <c r="F373" t="n">
        <v>499</v>
      </c>
      <c r="G373">
        <f>IF(AND(F373&gt;5000,D373&lt;&gt;"East"),"High-Value Merchant Day","Normal")</f>
        <v/>
      </c>
    </row>
    <row r="374">
      <c r="A374" t="inlineStr">
        <is>
          <t>34_2026-01-21</t>
        </is>
      </c>
      <c r="B374" t="n">
        <v>34</v>
      </c>
      <c r="C374" t="inlineStr">
        <is>
          <t>Merchant_034</t>
        </is>
      </c>
      <c r="D374" t="inlineStr">
        <is>
          <t>South</t>
        </is>
      </c>
      <c r="E374" s="5" t="n">
        <v>46043</v>
      </c>
      <c r="F374" t="n">
        <v>799</v>
      </c>
      <c r="G374">
        <f>IF(AND(F374&gt;5000,D374&lt;&gt;"East"),"High-Value Merchant Day","Normal")</f>
        <v/>
      </c>
    </row>
    <row r="375">
      <c r="A375" t="inlineStr">
        <is>
          <t>34_2026-01-22</t>
        </is>
      </c>
      <c r="B375" t="n">
        <v>34</v>
      </c>
      <c r="C375" t="inlineStr">
        <is>
          <t>Merchant_034</t>
        </is>
      </c>
      <c r="D375" t="inlineStr">
        <is>
          <t>South</t>
        </is>
      </c>
      <c r="E375" s="5" t="n">
        <v>46044</v>
      </c>
      <c r="F375" t="n">
        <v>299</v>
      </c>
      <c r="G375">
        <f>IF(AND(F375&gt;5000,D375&lt;&gt;"East"),"High-Value Merchant Day","Normal")</f>
        <v/>
      </c>
    </row>
    <row r="376">
      <c r="A376" t="inlineStr">
        <is>
          <t>34_2026-01-23</t>
        </is>
      </c>
      <c r="B376" t="n">
        <v>34</v>
      </c>
      <c r="C376" t="inlineStr">
        <is>
          <t>Merchant_034</t>
        </is>
      </c>
      <c r="D376" t="inlineStr">
        <is>
          <t>South</t>
        </is>
      </c>
      <c r="E376" s="5" t="n">
        <v>46045</v>
      </c>
      <c r="F376" t="n">
        <v>3148</v>
      </c>
      <c r="G376">
        <f>IF(AND(F376&gt;5000,D376&lt;&gt;"East"),"High-Value Merchant Day","Normal")</f>
        <v/>
      </c>
    </row>
    <row r="377">
      <c r="A377" t="inlineStr">
        <is>
          <t>34_2026-01-24</t>
        </is>
      </c>
      <c r="B377" t="n">
        <v>34</v>
      </c>
      <c r="C377" t="inlineStr">
        <is>
          <t>Merchant_034</t>
        </is>
      </c>
      <c r="D377" t="inlineStr">
        <is>
          <t>South</t>
        </is>
      </c>
      <c r="E377" s="5" t="n">
        <v>46046</v>
      </c>
      <c r="F377" t="n">
        <v>548</v>
      </c>
      <c r="G377">
        <f>IF(AND(F377&gt;5000,D377&lt;&gt;"East"),"High-Value Merchant Day","Normal")</f>
        <v/>
      </c>
    </row>
    <row r="378">
      <c r="A378" t="inlineStr">
        <is>
          <t>35_2026-01-01</t>
        </is>
      </c>
      <c r="B378" t="n">
        <v>35</v>
      </c>
      <c r="C378" t="inlineStr">
        <is>
          <t>Merchant_035</t>
        </is>
      </c>
      <c r="D378" t="inlineStr">
        <is>
          <t>East</t>
        </is>
      </c>
      <c r="E378" s="5" t="n">
        <v>46023</v>
      </c>
      <c r="F378" t="n">
        <v>798</v>
      </c>
      <c r="G378">
        <f>IF(AND(F378&gt;5000,D378&lt;&gt;"East"),"High-Value Merchant Day","Normal")</f>
        <v/>
      </c>
    </row>
    <row r="379">
      <c r="A379" t="inlineStr">
        <is>
          <t>35_2026-01-02</t>
        </is>
      </c>
      <c r="B379" t="n">
        <v>35</v>
      </c>
      <c r="C379" t="inlineStr">
        <is>
          <t>Merchant_035</t>
        </is>
      </c>
      <c r="D379" t="inlineStr">
        <is>
          <t>East</t>
        </is>
      </c>
      <c r="E379" s="5" t="n">
        <v>46024</v>
      </c>
      <c r="F379" t="n">
        <v>1847</v>
      </c>
      <c r="G379">
        <f>IF(AND(F379&gt;5000,D379&lt;&gt;"East"),"High-Value Merchant Day","Normal")</f>
        <v/>
      </c>
    </row>
    <row r="380">
      <c r="A380" t="inlineStr">
        <is>
          <t>35_2026-01-11</t>
        </is>
      </c>
      <c r="B380" t="n">
        <v>35</v>
      </c>
      <c r="C380" t="inlineStr">
        <is>
          <t>Merchant_035</t>
        </is>
      </c>
      <c r="D380" t="inlineStr">
        <is>
          <t>East</t>
        </is>
      </c>
      <c r="E380" s="5" t="n">
        <v>46033</v>
      </c>
      <c r="F380" t="n">
        <v>4999</v>
      </c>
      <c r="G380">
        <f>IF(AND(F380&gt;5000,D380&lt;&gt;"East"),"High-Value Merchant Day","Normal")</f>
        <v/>
      </c>
    </row>
    <row r="381">
      <c r="A381" t="inlineStr">
        <is>
          <t>35_2026-01-12</t>
        </is>
      </c>
      <c r="B381" t="n">
        <v>35</v>
      </c>
      <c r="C381" t="inlineStr">
        <is>
          <t>Merchant_035</t>
        </is>
      </c>
      <c r="D381" t="inlineStr">
        <is>
          <t>East</t>
        </is>
      </c>
      <c r="E381" s="5" t="n">
        <v>46034</v>
      </c>
      <c r="F381" t="n">
        <v>99</v>
      </c>
      <c r="G381">
        <f>IF(AND(F381&gt;5000,D381&lt;&gt;"East"),"High-Value Merchant Day","Normal")</f>
        <v/>
      </c>
    </row>
    <row r="382">
      <c r="A382" t="inlineStr">
        <is>
          <t>35_2026-01-13</t>
        </is>
      </c>
      <c r="B382" t="n">
        <v>35</v>
      </c>
      <c r="C382" t="inlineStr">
        <is>
          <t>Merchant_035</t>
        </is>
      </c>
      <c r="D382" t="inlineStr">
        <is>
          <t>East</t>
        </is>
      </c>
      <c r="E382" s="5" t="n">
        <v>46035</v>
      </c>
      <c r="F382" t="n">
        <v>149</v>
      </c>
      <c r="G382">
        <f>IF(AND(F382&gt;5000,D382&lt;&gt;"East"),"High-Value Merchant Day","Normal")</f>
        <v/>
      </c>
    </row>
    <row r="383">
      <c r="A383" t="inlineStr">
        <is>
          <t>35_2026-01-21</t>
        </is>
      </c>
      <c r="B383" t="n">
        <v>35</v>
      </c>
      <c r="C383" t="inlineStr">
        <is>
          <t>Merchant_035</t>
        </is>
      </c>
      <c r="D383" t="inlineStr">
        <is>
          <t>East</t>
        </is>
      </c>
      <c r="E383" s="5" t="n">
        <v>46043</v>
      </c>
      <c r="F383" t="n">
        <v>299</v>
      </c>
      <c r="G383">
        <f>IF(AND(F383&gt;5000,D383&lt;&gt;"East"),"High-Value Merchant Day","Normal")</f>
        <v/>
      </c>
    </row>
    <row r="384">
      <c r="A384" t="inlineStr">
        <is>
          <t>35_2026-01-22</t>
        </is>
      </c>
      <c r="B384" t="n">
        <v>35</v>
      </c>
      <c r="C384" t="inlineStr">
        <is>
          <t>Merchant_035</t>
        </is>
      </c>
      <c r="D384" t="inlineStr">
        <is>
          <t>East</t>
        </is>
      </c>
      <c r="E384" s="5" t="n">
        <v>46044</v>
      </c>
      <c r="F384" t="n">
        <v>299</v>
      </c>
      <c r="G384">
        <f>IF(AND(F384&gt;5000,D384&lt;&gt;"East"),"High-Value Merchant Day","Normal")</f>
        <v/>
      </c>
    </row>
    <row r="385">
      <c r="A385" t="inlineStr">
        <is>
          <t>35_2026-01-24</t>
        </is>
      </c>
      <c r="B385" t="n">
        <v>35</v>
      </c>
      <c r="C385" t="inlineStr">
        <is>
          <t>Merchant_035</t>
        </is>
      </c>
      <c r="D385" t="inlineStr">
        <is>
          <t>East</t>
        </is>
      </c>
      <c r="E385" s="5" t="n">
        <v>46046</v>
      </c>
      <c r="F385" t="n">
        <v>149</v>
      </c>
      <c r="G385">
        <f>IF(AND(F385&gt;5000,D385&lt;&gt;"East"),"High-Value Merchant Day","Normal")</f>
        <v/>
      </c>
    </row>
    <row r="386">
      <c r="A386" t="inlineStr">
        <is>
          <t>35_2026-01-26</t>
        </is>
      </c>
      <c r="B386" t="n">
        <v>35</v>
      </c>
      <c r="C386" t="inlineStr">
        <is>
          <t>Merchant_035</t>
        </is>
      </c>
      <c r="D386" t="inlineStr">
        <is>
          <t>East</t>
        </is>
      </c>
      <c r="E386" s="5" t="n">
        <v>46048</v>
      </c>
      <c r="F386" t="n">
        <v>499</v>
      </c>
      <c r="G386">
        <f>IF(AND(F386&gt;5000,D386&lt;&gt;"East"),"High-Value Merchant Day","Normal")</f>
        <v/>
      </c>
    </row>
    <row r="387">
      <c r="A387" t="inlineStr">
        <is>
          <t>35_2026-01-28</t>
        </is>
      </c>
      <c r="B387" t="n">
        <v>35</v>
      </c>
      <c r="C387" t="inlineStr">
        <is>
          <t>Merchant_035</t>
        </is>
      </c>
      <c r="D387" t="inlineStr">
        <is>
          <t>East</t>
        </is>
      </c>
      <c r="E387" s="5" t="n">
        <v>46050</v>
      </c>
      <c r="F387" t="n">
        <v>49</v>
      </c>
      <c r="G387">
        <f>IF(AND(F387&gt;5000,D387&lt;&gt;"East"),"High-Value Merchant Day","Normal")</f>
        <v/>
      </c>
    </row>
    <row r="388">
      <c r="A388" t="inlineStr">
        <is>
          <t>35_2026-01-30</t>
        </is>
      </c>
      <c r="B388" t="n">
        <v>35</v>
      </c>
      <c r="C388" t="inlineStr">
        <is>
          <t>Merchant_035</t>
        </is>
      </c>
      <c r="D388" t="inlineStr">
        <is>
          <t>East</t>
        </is>
      </c>
      <c r="E388" s="5" t="n">
        <v>46052</v>
      </c>
      <c r="F388" t="n">
        <v>99</v>
      </c>
      <c r="G388">
        <f>IF(AND(F388&gt;5000,D388&lt;&gt;"East"),"High-Value Merchant Day","Normal")</f>
        <v/>
      </c>
    </row>
    <row r="389">
      <c r="A389" t="inlineStr">
        <is>
          <t>36_2026-01-01</t>
        </is>
      </c>
      <c r="B389" t="n">
        <v>36</v>
      </c>
      <c r="C389" t="inlineStr">
        <is>
          <t>Merchant_036</t>
        </is>
      </c>
      <c r="D389" t="inlineStr">
        <is>
          <t>East</t>
        </is>
      </c>
      <c r="E389" s="5" t="n">
        <v>46023</v>
      </c>
      <c r="F389" t="n">
        <v>149</v>
      </c>
      <c r="G389">
        <f>IF(AND(F389&gt;5000,D389&lt;&gt;"East"),"High-Value Merchant Day","Normal")</f>
        <v/>
      </c>
    </row>
    <row r="390">
      <c r="A390" t="inlineStr">
        <is>
          <t>36_2026-01-02</t>
        </is>
      </c>
      <c r="B390" t="n">
        <v>36</v>
      </c>
      <c r="C390" t="inlineStr">
        <is>
          <t>Merchant_036</t>
        </is>
      </c>
      <c r="D390" t="inlineStr">
        <is>
          <t>East</t>
        </is>
      </c>
      <c r="E390" s="5" t="n">
        <v>46024</v>
      </c>
      <c r="F390" t="n">
        <v>299</v>
      </c>
      <c r="G390">
        <f>IF(AND(F390&gt;5000,D390&lt;&gt;"East"),"High-Value Merchant Day","Normal")</f>
        <v/>
      </c>
    </row>
    <row r="391">
      <c r="A391" t="inlineStr">
        <is>
          <t>36_2026-01-03</t>
        </is>
      </c>
      <c r="B391" t="n">
        <v>36</v>
      </c>
      <c r="C391" t="inlineStr">
        <is>
          <t>Merchant_036</t>
        </is>
      </c>
      <c r="D391" t="inlineStr">
        <is>
          <t>East</t>
        </is>
      </c>
      <c r="E391" s="5" t="n">
        <v>46025</v>
      </c>
      <c r="F391" t="n">
        <v>248</v>
      </c>
      <c r="G391">
        <f>IF(AND(F391&gt;5000,D391&lt;&gt;"East"),"High-Value Merchant Day","Normal")</f>
        <v/>
      </c>
    </row>
    <row r="392">
      <c r="A392" t="inlineStr">
        <is>
          <t>36_2026-01-04</t>
        </is>
      </c>
      <c r="B392" t="n">
        <v>36</v>
      </c>
      <c r="C392" t="inlineStr">
        <is>
          <t>Merchant_036</t>
        </is>
      </c>
      <c r="D392" t="inlineStr">
        <is>
          <t>East</t>
        </is>
      </c>
      <c r="E392" s="5" t="n">
        <v>46026</v>
      </c>
      <c r="F392" t="n">
        <v>149</v>
      </c>
      <c r="G392">
        <f>IF(AND(F392&gt;5000,D392&lt;&gt;"East"),"High-Value Merchant Day","Normal")</f>
        <v/>
      </c>
    </row>
    <row r="393">
      <c r="A393" t="inlineStr">
        <is>
          <t>36_2026-01-16</t>
        </is>
      </c>
      <c r="B393" t="n">
        <v>36</v>
      </c>
      <c r="C393" t="inlineStr">
        <is>
          <t>Merchant_036</t>
        </is>
      </c>
      <c r="D393" t="inlineStr">
        <is>
          <t>East</t>
        </is>
      </c>
      <c r="E393" s="5" t="n">
        <v>46038</v>
      </c>
      <c r="F393" t="n">
        <v>1499</v>
      </c>
      <c r="G393">
        <f>IF(AND(F393&gt;5000,D393&lt;&gt;"East"),"High-Value Merchant Day","Normal")</f>
        <v/>
      </c>
    </row>
    <row r="394">
      <c r="A394" t="inlineStr">
        <is>
          <t>36_2026-01-17</t>
        </is>
      </c>
      <c r="B394" t="n">
        <v>36</v>
      </c>
      <c r="C394" t="inlineStr">
        <is>
          <t>Merchant_036</t>
        </is>
      </c>
      <c r="D394" t="inlineStr">
        <is>
          <t>East</t>
        </is>
      </c>
      <c r="E394" s="5" t="n">
        <v>46039</v>
      </c>
      <c r="F394" t="n">
        <v>1499</v>
      </c>
      <c r="G394">
        <f>IF(AND(F394&gt;5000,D394&lt;&gt;"East"),"High-Value Merchant Day","Normal")</f>
        <v/>
      </c>
    </row>
    <row r="395">
      <c r="A395" t="inlineStr">
        <is>
          <t>36_2026-01-19</t>
        </is>
      </c>
      <c r="B395" t="n">
        <v>36</v>
      </c>
      <c r="C395" t="inlineStr">
        <is>
          <t>Merchant_036</t>
        </is>
      </c>
      <c r="D395" t="inlineStr">
        <is>
          <t>East</t>
        </is>
      </c>
      <c r="E395" s="5" t="n">
        <v>46041</v>
      </c>
      <c r="F395" t="n">
        <v>4999</v>
      </c>
      <c r="G395">
        <f>IF(AND(F395&gt;5000,D395&lt;&gt;"East"),"High-Value Merchant Day","Normal")</f>
        <v/>
      </c>
    </row>
    <row r="396">
      <c r="A396" t="inlineStr">
        <is>
          <t>36_2026-01-20</t>
        </is>
      </c>
      <c r="B396" t="n">
        <v>36</v>
      </c>
      <c r="C396" t="inlineStr">
        <is>
          <t>Merchant_036</t>
        </is>
      </c>
      <c r="D396" t="inlineStr">
        <is>
          <t>East</t>
        </is>
      </c>
      <c r="E396" s="5" t="n">
        <v>46042</v>
      </c>
      <c r="F396" t="n">
        <v>49</v>
      </c>
      <c r="G396">
        <f>IF(AND(F396&gt;5000,D396&lt;&gt;"East"),"High-Value Merchant Day","Normal")</f>
        <v/>
      </c>
    </row>
    <row r="397">
      <c r="A397" t="inlineStr">
        <is>
          <t>36_2026-01-24</t>
        </is>
      </c>
      <c r="B397" t="n">
        <v>36</v>
      </c>
      <c r="C397" t="inlineStr">
        <is>
          <t>Merchant_036</t>
        </is>
      </c>
      <c r="D397" t="inlineStr">
        <is>
          <t>East</t>
        </is>
      </c>
      <c r="E397" s="5" t="n">
        <v>46046</v>
      </c>
      <c r="F397" t="n">
        <v>1647</v>
      </c>
      <c r="G397">
        <f>IF(AND(F397&gt;5000,D397&lt;&gt;"East"),"High-Value Merchant Day","Normal")</f>
        <v/>
      </c>
    </row>
    <row r="398">
      <c r="A398" t="inlineStr">
        <is>
          <t>36_2026-01-26</t>
        </is>
      </c>
      <c r="B398" t="n">
        <v>36</v>
      </c>
      <c r="C398" t="inlineStr">
        <is>
          <t>Merchant_036</t>
        </is>
      </c>
      <c r="D398" t="inlineStr">
        <is>
          <t>East</t>
        </is>
      </c>
      <c r="E398" s="5" t="n">
        <v>46048</v>
      </c>
      <c r="F398" t="n">
        <v>198</v>
      </c>
      <c r="G398">
        <f>IF(AND(F398&gt;5000,D398&lt;&gt;"East"),"High-Value Merchant Day","Normal")</f>
        <v/>
      </c>
    </row>
    <row r="399">
      <c r="A399" t="inlineStr">
        <is>
          <t>36_2026-01-28</t>
        </is>
      </c>
      <c r="B399" t="n">
        <v>36</v>
      </c>
      <c r="C399" t="inlineStr">
        <is>
          <t>Merchant_036</t>
        </is>
      </c>
      <c r="D399" t="inlineStr">
        <is>
          <t>East</t>
        </is>
      </c>
      <c r="E399" s="5" t="n">
        <v>46050</v>
      </c>
      <c r="F399" t="n">
        <v>999</v>
      </c>
      <c r="G399">
        <f>IF(AND(F399&gt;5000,D399&lt;&gt;"East"),"High-Value Merchant Day","Normal")</f>
        <v/>
      </c>
    </row>
    <row r="400">
      <c r="A400" t="inlineStr">
        <is>
          <t>36_2026-01-29</t>
        </is>
      </c>
      <c r="B400" t="n">
        <v>36</v>
      </c>
      <c r="C400" t="inlineStr">
        <is>
          <t>Merchant_036</t>
        </is>
      </c>
      <c r="D400" t="inlineStr">
        <is>
          <t>East</t>
        </is>
      </c>
      <c r="E400" s="5" t="n">
        <v>46051</v>
      </c>
      <c r="F400" t="n">
        <v>799</v>
      </c>
      <c r="G400">
        <f>IF(AND(F400&gt;5000,D400&lt;&gt;"East"),"High-Value Merchant Day","Normal")</f>
        <v/>
      </c>
    </row>
    <row r="401">
      <c r="A401" t="inlineStr">
        <is>
          <t>37_2026-01-01</t>
        </is>
      </c>
      <c r="B401" t="n">
        <v>37</v>
      </c>
      <c r="C401" t="inlineStr">
        <is>
          <t>Merchant_037</t>
        </is>
      </c>
      <c r="D401" t="inlineStr">
        <is>
          <t>South</t>
        </is>
      </c>
      <c r="E401" s="5" t="n">
        <v>46023</v>
      </c>
      <c r="F401" t="n">
        <v>598</v>
      </c>
      <c r="G401">
        <f>IF(AND(F401&gt;5000,D401&lt;&gt;"East"),"High-Value Merchant Day","Normal")</f>
        <v/>
      </c>
    </row>
    <row r="402">
      <c r="A402" t="inlineStr">
        <is>
          <t>37_2026-01-02</t>
        </is>
      </c>
      <c r="B402" t="n">
        <v>37</v>
      </c>
      <c r="C402" t="inlineStr">
        <is>
          <t>Merchant_037</t>
        </is>
      </c>
      <c r="D402" t="inlineStr">
        <is>
          <t>South</t>
        </is>
      </c>
      <c r="E402" s="5" t="n">
        <v>46024</v>
      </c>
      <c r="F402" t="n">
        <v>2999</v>
      </c>
      <c r="G402">
        <f>IF(AND(F402&gt;5000,D402&lt;&gt;"East"),"High-Value Merchant Day","Normal")</f>
        <v/>
      </c>
    </row>
    <row r="403">
      <c r="A403" t="inlineStr">
        <is>
          <t>37_2026-01-03</t>
        </is>
      </c>
      <c r="B403" t="n">
        <v>37</v>
      </c>
      <c r="C403" t="inlineStr">
        <is>
          <t>Merchant_037</t>
        </is>
      </c>
      <c r="D403" t="inlineStr">
        <is>
          <t>South</t>
        </is>
      </c>
      <c r="E403" s="5" t="n">
        <v>46025</v>
      </c>
      <c r="F403" t="n">
        <v>299</v>
      </c>
      <c r="G403">
        <f>IF(AND(F403&gt;5000,D403&lt;&gt;"East"),"High-Value Merchant Day","Normal")</f>
        <v/>
      </c>
    </row>
    <row r="404">
      <c r="A404" t="inlineStr">
        <is>
          <t>37_2026-01-04</t>
        </is>
      </c>
      <c r="B404" t="n">
        <v>37</v>
      </c>
      <c r="C404" t="inlineStr">
        <is>
          <t>Merchant_037</t>
        </is>
      </c>
      <c r="D404" t="inlineStr">
        <is>
          <t>South</t>
        </is>
      </c>
      <c r="E404" s="5" t="n">
        <v>46026</v>
      </c>
      <c r="F404" t="n">
        <v>49</v>
      </c>
      <c r="G404">
        <f>IF(AND(F404&gt;5000,D404&lt;&gt;"East"),"High-Value Merchant Day","Normal")</f>
        <v/>
      </c>
    </row>
    <row r="405">
      <c r="A405" t="inlineStr">
        <is>
          <t>37_2026-01-05</t>
        </is>
      </c>
      <c r="B405" t="n">
        <v>37</v>
      </c>
      <c r="C405" t="inlineStr">
        <is>
          <t>Merchant_037</t>
        </is>
      </c>
      <c r="D405" t="inlineStr">
        <is>
          <t>South</t>
        </is>
      </c>
      <c r="E405" s="5" t="n">
        <v>46027</v>
      </c>
      <c r="F405" t="n">
        <v>1499</v>
      </c>
      <c r="G405">
        <f>IF(AND(F405&gt;5000,D405&lt;&gt;"East"),"High-Value Merchant Day","Normal")</f>
        <v/>
      </c>
    </row>
    <row r="406">
      <c r="A406" t="inlineStr">
        <is>
          <t>37_2026-01-06</t>
        </is>
      </c>
      <c r="B406" t="n">
        <v>37</v>
      </c>
      <c r="C406" t="inlineStr">
        <is>
          <t>Merchant_037</t>
        </is>
      </c>
      <c r="D406" t="inlineStr">
        <is>
          <t>South</t>
        </is>
      </c>
      <c r="E406" s="5" t="n">
        <v>46028</v>
      </c>
      <c r="F406" t="n">
        <v>99</v>
      </c>
      <c r="G406">
        <f>IF(AND(F406&gt;5000,D406&lt;&gt;"East"),"High-Value Merchant Day","Normal")</f>
        <v/>
      </c>
    </row>
    <row r="407">
      <c r="A407" t="inlineStr">
        <is>
          <t>37_2026-01-12</t>
        </is>
      </c>
      <c r="B407" t="n">
        <v>37</v>
      </c>
      <c r="C407" t="inlineStr">
        <is>
          <t>Merchant_037</t>
        </is>
      </c>
      <c r="D407" t="inlineStr">
        <is>
          <t>South</t>
        </is>
      </c>
      <c r="E407" s="5" t="n">
        <v>46034</v>
      </c>
      <c r="F407" t="n">
        <v>149</v>
      </c>
      <c r="G407">
        <f>IF(AND(F407&gt;5000,D407&lt;&gt;"East"),"High-Value Merchant Day","Normal")</f>
        <v/>
      </c>
    </row>
    <row r="408">
      <c r="A408" t="inlineStr">
        <is>
          <t>37_2026-01-16</t>
        </is>
      </c>
      <c r="B408" t="n">
        <v>37</v>
      </c>
      <c r="C408" t="inlineStr">
        <is>
          <t>Merchant_037</t>
        </is>
      </c>
      <c r="D408" t="inlineStr">
        <is>
          <t>South</t>
        </is>
      </c>
      <c r="E408" s="5" t="n">
        <v>46038</v>
      </c>
      <c r="F408" t="n">
        <v>2999</v>
      </c>
      <c r="G408">
        <f>IF(AND(F408&gt;5000,D408&lt;&gt;"East"),"High-Value Merchant Day","Normal")</f>
        <v/>
      </c>
    </row>
    <row r="409">
      <c r="A409" t="inlineStr">
        <is>
          <t>37_2026-01-17</t>
        </is>
      </c>
      <c r="B409" t="n">
        <v>37</v>
      </c>
      <c r="C409" t="inlineStr">
        <is>
          <t>Merchant_037</t>
        </is>
      </c>
      <c r="D409" t="inlineStr">
        <is>
          <t>South</t>
        </is>
      </c>
      <c r="E409" s="5" t="n">
        <v>46039</v>
      </c>
      <c r="F409" t="n">
        <v>49</v>
      </c>
      <c r="G409">
        <f>IF(AND(F409&gt;5000,D409&lt;&gt;"East"),"High-Value Merchant Day","Normal")</f>
        <v/>
      </c>
    </row>
    <row r="410">
      <c r="A410" t="inlineStr">
        <is>
          <t>37_2026-01-20</t>
        </is>
      </c>
      <c r="B410" t="n">
        <v>37</v>
      </c>
      <c r="C410" t="inlineStr">
        <is>
          <t>Merchant_037</t>
        </is>
      </c>
      <c r="D410" t="inlineStr">
        <is>
          <t>South</t>
        </is>
      </c>
      <c r="E410" s="5" t="n">
        <v>46042</v>
      </c>
      <c r="F410" t="n">
        <v>149</v>
      </c>
      <c r="G410">
        <f>IF(AND(F410&gt;5000,D410&lt;&gt;"East"),"High-Value Merchant Day","Normal")</f>
        <v/>
      </c>
    </row>
    <row r="411">
      <c r="A411" t="inlineStr">
        <is>
          <t>37_2026-01-21</t>
        </is>
      </c>
      <c r="B411" t="n">
        <v>37</v>
      </c>
      <c r="C411" t="inlineStr">
        <is>
          <t>Merchant_037</t>
        </is>
      </c>
      <c r="D411" t="inlineStr">
        <is>
          <t>South</t>
        </is>
      </c>
      <c r="E411" s="5" t="n">
        <v>46043</v>
      </c>
      <c r="F411" t="n">
        <v>99</v>
      </c>
      <c r="G411">
        <f>IF(AND(F411&gt;5000,D411&lt;&gt;"East"),"High-Value Merchant Day","Normal")</f>
        <v/>
      </c>
    </row>
    <row r="412">
      <c r="A412" t="inlineStr">
        <is>
          <t>37_2026-01-23</t>
        </is>
      </c>
      <c r="B412" t="n">
        <v>37</v>
      </c>
      <c r="C412" t="inlineStr">
        <is>
          <t>Merchant_037</t>
        </is>
      </c>
      <c r="D412" t="inlineStr">
        <is>
          <t>South</t>
        </is>
      </c>
      <c r="E412" s="5" t="n">
        <v>46045</v>
      </c>
      <c r="F412" t="n">
        <v>1999</v>
      </c>
      <c r="G412">
        <f>IF(AND(F412&gt;5000,D412&lt;&gt;"East"),"High-Value Merchant Day","Normal")</f>
        <v/>
      </c>
    </row>
    <row r="413">
      <c r="A413" t="inlineStr">
        <is>
          <t>37_2026-01-27</t>
        </is>
      </c>
      <c r="B413" t="n">
        <v>37</v>
      </c>
      <c r="C413" t="inlineStr">
        <is>
          <t>Merchant_037</t>
        </is>
      </c>
      <c r="D413" t="inlineStr">
        <is>
          <t>South</t>
        </is>
      </c>
      <c r="E413" s="5" t="n">
        <v>46049</v>
      </c>
      <c r="F413" t="n">
        <v>799</v>
      </c>
      <c r="G413">
        <f>IF(AND(F413&gt;5000,D413&lt;&gt;"East"),"High-Value Merchant Day","Normal")</f>
        <v/>
      </c>
    </row>
    <row r="414">
      <c r="A414" t="inlineStr">
        <is>
          <t>37_2026-01-28</t>
        </is>
      </c>
      <c r="B414" t="n">
        <v>37</v>
      </c>
      <c r="C414" t="inlineStr">
        <is>
          <t>Merchant_037</t>
        </is>
      </c>
      <c r="D414" t="inlineStr">
        <is>
          <t>South</t>
        </is>
      </c>
      <c r="E414" s="5" t="n">
        <v>46050</v>
      </c>
      <c r="F414" t="n">
        <v>697</v>
      </c>
      <c r="G414">
        <f>IF(AND(F414&gt;5000,D414&lt;&gt;"East"),"High-Value Merchant Day","Normal")</f>
        <v/>
      </c>
    </row>
    <row r="415">
      <c r="A415" t="inlineStr">
        <is>
          <t>37_2026-01-29</t>
        </is>
      </c>
      <c r="B415" t="n">
        <v>37</v>
      </c>
      <c r="C415" t="inlineStr">
        <is>
          <t>Merchant_037</t>
        </is>
      </c>
      <c r="D415" t="inlineStr">
        <is>
          <t>South</t>
        </is>
      </c>
      <c r="E415" s="5" t="n">
        <v>46051</v>
      </c>
      <c r="F415" t="n">
        <v>149</v>
      </c>
      <c r="G415">
        <f>IF(AND(F415&gt;5000,D415&lt;&gt;"East"),"High-Value Merchant Day","Normal")</f>
        <v/>
      </c>
    </row>
    <row r="416">
      <c r="A416" t="inlineStr">
        <is>
          <t>37_2026-01-30</t>
        </is>
      </c>
      <c r="B416" t="n">
        <v>37</v>
      </c>
      <c r="C416" t="inlineStr">
        <is>
          <t>Merchant_037</t>
        </is>
      </c>
      <c r="D416" t="inlineStr">
        <is>
          <t>South</t>
        </is>
      </c>
      <c r="E416" s="5" t="n">
        <v>46052</v>
      </c>
      <c r="F416" t="n">
        <v>299</v>
      </c>
      <c r="G416">
        <f>IF(AND(F416&gt;5000,D416&lt;&gt;"East"),"High-Value Merchant Day","Normal")</f>
        <v/>
      </c>
    </row>
    <row r="417">
      <c r="A417" t="inlineStr">
        <is>
          <t>38_2026-01-05</t>
        </is>
      </c>
      <c r="B417" t="n">
        <v>38</v>
      </c>
      <c r="C417" t="inlineStr">
        <is>
          <t>Merchant_038</t>
        </is>
      </c>
      <c r="D417" t="inlineStr">
        <is>
          <t>East</t>
        </is>
      </c>
      <c r="E417" s="5" t="n">
        <v>46027</v>
      </c>
      <c r="F417" t="n">
        <v>1499</v>
      </c>
      <c r="G417">
        <f>IF(AND(F417&gt;5000,D417&lt;&gt;"East"),"High-Value Merchant Day","Normal")</f>
        <v/>
      </c>
    </row>
    <row r="418">
      <c r="A418" t="inlineStr">
        <is>
          <t>38_2026-01-06</t>
        </is>
      </c>
      <c r="B418" t="n">
        <v>38</v>
      </c>
      <c r="C418" t="inlineStr">
        <is>
          <t>Merchant_038</t>
        </is>
      </c>
      <c r="D418" t="inlineStr">
        <is>
          <t>East</t>
        </is>
      </c>
      <c r="E418" s="5" t="n">
        <v>46028</v>
      </c>
      <c r="F418" t="n">
        <v>99</v>
      </c>
      <c r="G418">
        <f>IF(AND(F418&gt;5000,D418&lt;&gt;"East"),"High-Value Merchant Day","Normal")</f>
        <v/>
      </c>
    </row>
    <row r="419">
      <c r="A419" t="inlineStr">
        <is>
          <t>38_2026-01-09</t>
        </is>
      </c>
      <c r="B419" t="n">
        <v>38</v>
      </c>
      <c r="C419" t="inlineStr">
        <is>
          <t>Merchant_038</t>
        </is>
      </c>
      <c r="D419" t="inlineStr">
        <is>
          <t>East</t>
        </is>
      </c>
      <c r="E419" s="5" t="n">
        <v>46031</v>
      </c>
      <c r="F419" t="n">
        <v>348</v>
      </c>
      <c r="G419">
        <f>IF(AND(F419&gt;5000,D419&lt;&gt;"East"),"High-Value Merchant Day","Normal")</f>
        <v/>
      </c>
    </row>
    <row r="420">
      <c r="A420" t="inlineStr">
        <is>
          <t>38_2026-01-10</t>
        </is>
      </c>
      <c r="B420" t="n">
        <v>38</v>
      </c>
      <c r="C420" t="inlineStr">
        <is>
          <t>Merchant_038</t>
        </is>
      </c>
      <c r="D420" t="inlineStr">
        <is>
          <t>East</t>
        </is>
      </c>
      <c r="E420" s="5" t="n">
        <v>46032</v>
      </c>
      <c r="F420" t="n">
        <v>398</v>
      </c>
      <c r="G420">
        <f>IF(AND(F420&gt;5000,D420&lt;&gt;"East"),"High-Value Merchant Day","Normal")</f>
        <v/>
      </c>
    </row>
    <row r="421">
      <c r="A421" t="inlineStr">
        <is>
          <t>38_2026-01-15</t>
        </is>
      </c>
      <c r="B421" t="n">
        <v>38</v>
      </c>
      <c r="C421" t="inlineStr">
        <is>
          <t>Merchant_038</t>
        </is>
      </c>
      <c r="D421" t="inlineStr">
        <is>
          <t>East</t>
        </is>
      </c>
      <c r="E421" s="5" t="n">
        <v>46037</v>
      </c>
      <c r="F421" t="n">
        <v>499</v>
      </c>
      <c r="G421">
        <f>IF(AND(F421&gt;5000,D421&lt;&gt;"East"),"High-Value Merchant Day","Normal")</f>
        <v/>
      </c>
    </row>
    <row r="422">
      <c r="A422" t="inlineStr">
        <is>
          <t>38_2026-01-22</t>
        </is>
      </c>
      <c r="B422" t="n">
        <v>38</v>
      </c>
      <c r="C422" t="inlineStr">
        <is>
          <t>Merchant_038</t>
        </is>
      </c>
      <c r="D422" t="inlineStr">
        <is>
          <t>East</t>
        </is>
      </c>
      <c r="E422" s="5" t="n">
        <v>46044</v>
      </c>
      <c r="F422" t="n">
        <v>299</v>
      </c>
      <c r="G422">
        <f>IF(AND(F422&gt;5000,D422&lt;&gt;"East"),"High-Value Merchant Day","Normal")</f>
        <v/>
      </c>
    </row>
    <row r="423">
      <c r="A423" t="inlineStr">
        <is>
          <t>38_2026-01-23</t>
        </is>
      </c>
      <c r="B423" t="n">
        <v>38</v>
      </c>
      <c r="C423" t="inlineStr">
        <is>
          <t>Merchant_038</t>
        </is>
      </c>
      <c r="D423" t="inlineStr">
        <is>
          <t>East</t>
        </is>
      </c>
      <c r="E423" s="5" t="n">
        <v>46045</v>
      </c>
      <c r="F423" t="n">
        <v>499</v>
      </c>
      <c r="G423">
        <f>IF(AND(F423&gt;5000,D423&lt;&gt;"East"),"High-Value Merchant Day","Normal")</f>
        <v/>
      </c>
    </row>
    <row r="424">
      <c r="A424" t="inlineStr">
        <is>
          <t>38_2026-01-28</t>
        </is>
      </c>
      <c r="B424" t="n">
        <v>38</v>
      </c>
      <c r="C424" t="inlineStr">
        <is>
          <t>Merchant_038</t>
        </is>
      </c>
      <c r="D424" t="inlineStr">
        <is>
          <t>East</t>
        </is>
      </c>
      <c r="E424" s="5" t="n">
        <v>46050</v>
      </c>
      <c r="F424" t="n">
        <v>299</v>
      </c>
      <c r="G424">
        <f>IF(AND(F424&gt;5000,D424&lt;&gt;"East"),"High-Value Merchant Day","Normal")</f>
        <v/>
      </c>
    </row>
    <row r="425">
      <c r="A425" t="inlineStr">
        <is>
          <t>39_2026-01-02</t>
        </is>
      </c>
      <c r="B425" t="n">
        <v>39</v>
      </c>
      <c r="C425" t="inlineStr">
        <is>
          <t>Merchant_039</t>
        </is>
      </c>
      <c r="D425" t="inlineStr">
        <is>
          <t>North</t>
        </is>
      </c>
      <c r="E425" s="5" t="n">
        <v>46024</v>
      </c>
      <c r="F425" t="n">
        <v>499</v>
      </c>
      <c r="G425">
        <f>IF(AND(F425&gt;5000,D425&lt;&gt;"East"),"High-Value Merchant Day","Normal")</f>
        <v/>
      </c>
    </row>
    <row r="426">
      <c r="A426" t="inlineStr">
        <is>
          <t>39_2026-01-05</t>
        </is>
      </c>
      <c r="B426" t="n">
        <v>39</v>
      </c>
      <c r="C426" t="inlineStr">
        <is>
          <t>Merchant_039</t>
        </is>
      </c>
      <c r="D426" t="inlineStr">
        <is>
          <t>North</t>
        </is>
      </c>
      <c r="E426" s="5" t="n">
        <v>46027</v>
      </c>
      <c r="F426" t="n">
        <v>299</v>
      </c>
      <c r="G426">
        <f>IF(AND(F426&gt;5000,D426&lt;&gt;"East"),"High-Value Merchant Day","Normal")</f>
        <v/>
      </c>
    </row>
    <row r="427">
      <c r="A427" t="inlineStr">
        <is>
          <t>39_2026-01-09</t>
        </is>
      </c>
      <c r="B427" t="n">
        <v>39</v>
      </c>
      <c r="C427" t="inlineStr">
        <is>
          <t>Merchant_039</t>
        </is>
      </c>
      <c r="D427" t="inlineStr">
        <is>
          <t>North</t>
        </is>
      </c>
      <c r="E427" s="5" t="n">
        <v>46031</v>
      </c>
      <c r="F427" t="n">
        <v>399</v>
      </c>
      <c r="G427">
        <f>IF(AND(F427&gt;5000,D427&lt;&gt;"East"),"High-Value Merchant Day","Normal")</f>
        <v/>
      </c>
    </row>
    <row r="428">
      <c r="A428" t="inlineStr">
        <is>
          <t>39_2026-01-10</t>
        </is>
      </c>
      <c r="B428" t="n">
        <v>39</v>
      </c>
      <c r="C428" t="inlineStr">
        <is>
          <t>Merchant_039</t>
        </is>
      </c>
      <c r="D428" t="inlineStr">
        <is>
          <t>North</t>
        </is>
      </c>
      <c r="E428" s="5" t="n">
        <v>46032</v>
      </c>
      <c r="F428" t="n">
        <v>49</v>
      </c>
      <c r="G428">
        <f>IF(AND(F428&gt;5000,D428&lt;&gt;"East"),"High-Value Merchant Day","Normal")</f>
        <v/>
      </c>
    </row>
    <row r="429">
      <c r="A429" t="inlineStr">
        <is>
          <t>39_2026-01-16</t>
        </is>
      </c>
      <c r="B429" t="n">
        <v>39</v>
      </c>
      <c r="C429" t="inlineStr">
        <is>
          <t>Merchant_039</t>
        </is>
      </c>
      <c r="D429" t="inlineStr">
        <is>
          <t>North</t>
        </is>
      </c>
      <c r="E429" s="5" t="n">
        <v>46038</v>
      </c>
      <c r="F429" t="n">
        <v>499</v>
      </c>
      <c r="G429">
        <f>IF(AND(F429&gt;5000,D429&lt;&gt;"East"),"High-Value Merchant Day","Normal")</f>
        <v/>
      </c>
    </row>
    <row r="430">
      <c r="A430" t="inlineStr">
        <is>
          <t>39_2026-01-17</t>
        </is>
      </c>
      <c r="B430" t="n">
        <v>39</v>
      </c>
      <c r="C430" t="inlineStr">
        <is>
          <t>Merchant_039</t>
        </is>
      </c>
      <c r="D430" t="inlineStr">
        <is>
          <t>North</t>
        </is>
      </c>
      <c r="E430" s="5" t="n">
        <v>46039</v>
      </c>
      <c r="F430" t="n">
        <v>2999</v>
      </c>
      <c r="G430">
        <f>IF(AND(F430&gt;5000,D430&lt;&gt;"East"),"High-Value Merchant Day","Normal")</f>
        <v/>
      </c>
    </row>
    <row r="431">
      <c r="A431" t="inlineStr">
        <is>
          <t>39_2026-01-18</t>
        </is>
      </c>
      <c r="B431" t="n">
        <v>39</v>
      </c>
      <c r="C431" t="inlineStr">
        <is>
          <t>Merchant_039</t>
        </is>
      </c>
      <c r="D431" t="inlineStr">
        <is>
          <t>North</t>
        </is>
      </c>
      <c r="E431" s="5" t="n">
        <v>46040</v>
      </c>
      <c r="F431" t="n">
        <v>2999</v>
      </c>
      <c r="G431">
        <f>IF(AND(F431&gt;5000,D431&lt;&gt;"East"),"High-Value Merchant Day","Normal")</f>
        <v/>
      </c>
    </row>
    <row r="432">
      <c r="A432" t="inlineStr">
        <is>
          <t>39_2026-01-22</t>
        </is>
      </c>
      <c r="B432" t="n">
        <v>39</v>
      </c>
      <c r="C432" t="inlineStr">
        <is>
          <t>Merchant_039</t>
        </is>
      </c>
      <c r="D432" t="inlineStr">
        <is>
          <t>North</t>
        </is>
      </c>
      <c r="E432" s="5" t="n">
        <v>46044</v>
      </c>
      <c r="F432" t="n">
        <v>9796</v>
      </c>
      <c r="G432">
        <f>IF(AND(F432&gt;5000,D432&lt;&gt;"East"),"High-Value Merchant Day","Normal")</f>
        <v/>
      </c>
    </row>
    <row r="433">
      <c r="A433" t="inlineStr">
        <is>
          <t>39_2026-01-23</t>
        </is>
      </c>
      <c r="B433" t="n">
        <v>39</v>
      </c>
      <c r="C433" t="inlineStr">
        <is>
          <t>Merchant_039</t>
        </is>
      </c>
      <c r="D433" t="inlineStr">
        <is>
          <t>North</t>
        </is>
      </c>
      <c r="E433" s="5" t="n">
        <v>46045</v>
      </c>
      <c r="F433" t="n">
        <v>4999</v>
      </c>
      <c r="G433">
        <f>IF(AND(F433&gt;5000,D433&lt;&gt;"East"),"High-Value Merchant Day","Normal")</f>
        <v/>
      </c>
    </row>
    <row r="434">
      <c r="A434" t="inlineStr">
        <is>
          <t>39_2026-01-29</t>
        </is>
      </c>
      <c r="B434" t="n">
        <v>39</v>
      </c>
      <c r="C434" t="inlineStr">
        <is>
          <t>Merchant_039</t>
        </is>
      </c>
      <c r="D434" t="inlineStr">
        <is>
          <t>North</t>
        </is>
      </c>
      <c r="E434" s="5" t="n">
        <v>46051</v>
      </c>
      <c r="F434" t="n">
        <v>149</v>
      </c>
      <c r="G434">
        <f>IF(AND(F434&gt;5000,D434&lt;&gt;"East"),"High-Value Merchant Day","Normal")</f>
        <v/>
      </c>
    </row>
    <row r="435">
      <c r="A435" t="inlineStr">
        <is>
          <t>40_2026-01-01</t>
        </is>
      </c>
      <c r="B435" t="n">
        <v>40</v>
      </c>
      <c r="C435" t="inlineStr">
        <is>
          <t>Merchant_040</t>
        </is>
      </c>
      <c r="D435" t="inlineStr">
        <is>
          <t>South</t>
        </is>
      </c>
      <c r="E435" s="5" t="n">
        <v>46023</v>
      </c>
      <c r="F435" t="n">
        <v>299</v>
      </c>
      <c r="G435">
        <f>IF(AND(F435&gt;5000,D435&lt;&gt;"East"),"High-Value Merchant Day","Normal")</f>
        <v/>
      </c>
    </row>
    <row r="436">
      <c r="A436" t="inlineStr">
        <is>
          <t>40_2026-01-03</t>
        </is>
      </c>
      <c r="B436" t="n">
        <v>40</v>
      </c>
      <c r="C436" t="inlineStr">
        <is>
          <t>Merchant_040</t>
        </is>
      </c>
      <c r="D436" t="inlineStr">
        <is>
          <t>South</t>
        </is>
      </c>
      <c r="E436" s="5" t="n">
        <v>46025</v>
      </c>
      <c r="F436" t="n">
        <v>49</v>
      </c>
      <c r="G436">
        <f>IF(AND(F436&gt;5000,D436&lt;&gt;"East"),"High-Value Merchant Day","Normal")</f>
        <v/>
      </c>
    </row>
    <row r="437">
      <c r="A437" t="inlineStr">
        <is>
          <t>40_2026-01-08</t>
        </is>
      </c>
      <c r="B437" t="n">
        <v>40</v>
      </c>
      <c r="C437" t="inlineStr">
        <is>
          <t>Merchant_040</t>
        </is>
      </c>
      <c r="D437" t="inlineStr">
        <is>
          <t>South</t>
        </is>
      </c>
      <c r="E437" s="5" t="n">
        <v>46030</v>
      </c>
      <c r="F437" t="n">
        <v>49</v>
      </c>
      <c r="G437">
        <f>IF(AND(F437&gt;5000,D437&lt;&gt;"East"),"High-Value Merchant Day","Normal")</f>
        <v/>
      </c>
    </row>
    <row r="438">
      <c r="A438" t="inlineStr">
        <is>
          <t>40_2026-01-11</t>
        </is>
      </c>
      <c r="B438" t="n">
        <v>40</v>
      </c>
      <c r="C438" t="inlineStr">
        <is>
          <t>Merchant_040</t>
        </is>
      </c>
      <c r="D438" t="inlineStr">
        <is>
          <t>South</t>
        </is>
      </c>
      <c r="E438" s="5" t="n">
        <v>46033</v>
      </c>
      <c r="F438" t="n">
        <v>4999</v>
      </c>
      <c r="G438">
        <f>IF(AND(F438&gt;5000,D438&lt;&gt;"East"),"High-Value Merchant Day","Normal")</f>
        <v/>
      </c>
    </row>
    <row r="439">
      <c r="A439" t="inlineStr">
        <is>
          <t>40_2026-01-12</t>
        </is>
      </c>
      <c r="B439" t="n">
        <v>40</v>
      </c>
      <c r="C439" t="inlineStr">
        <is>
          <t>Merchant_040</t>
        </is>
      </c>
      <c r="D439" t="inlineStr">
        <is>
          <t>South</t>
        </is>
      </c>
      <c r="E439" s="5" t="n">
        <v>46034</v>
      </c>
      <c r="F439" t="n">
        <v>99</v>
      </c>
      <c r="G439">
        <f>IF(AND(F439&gt;5000,D439&lt;&gt;"East"),"High-Value Merchant Day","Normal")</f>
        <v/>
      </c>
    </row>
    <row r="440">
      <c r="A440" t="inlineStr">
        <is>
          <t>40_2026-01-13</t>
        </is>
      </c>
      <c r="B440" t="n">
        <v>40</v>
      </c>
      <c r="C440" t="inlineStr">
        <is>
          <t>Merchant_040</t>
        </is>
      </c>
      <c r="D440" t="inlineStr">
        <is>
          <t>South</t>
        </is>
      </c>
      <c r="E440" s="5" t="n">
        <v>46035</v>
      </c>
      <c r="F440" t="n">
        <v>299</v>
      </c>
      <c r="G440">
        <f>IF(AND(F440&gt;5000,D440&lt;&gt;"East"),"High-Value Merchant Day","Normal")</f>
        <v/>
      </c>
    </row>
    <row r="441">
      <c r="A441" t="inlineStr">
        <is>
          <t>40_2026-01-14</t>
        </is>
      </c>
      <c r="B441" t="n">
        <v>40</v>
      </c>
      <c r="C441" t="inlineStr">
        <is>
          <t>Merchant_040</t>
        </is>
      </c>
      <c r="D441" t="inlineStr">
        <is>
          <t>South</t>
        </is>
      </c>
      <c r="E441" s="5" t="n">
        <v>46036</v>
      </c>
      <c r="F441" t="n">
        <v>99</v>
      </c>
      <c r="G441">
        <f>IF(AND(F441&gt;5000,D441&lt;&gt;"East"),"High-Value Merchant Day","Normal")</f>
        <v/>
      </c>
    </row>
    <row r="442">
      <c r="A442" t="inlineStr">
        <is>
          <t>40_2026-01-15</t>
        </is>
      </c>
      <c r="B442" t="n">
        <v>40</v>
      </c>
      <c r="C442" t="inlineStr">
        <is>
          <t>Merchant_040</t>
        </is>
      </c>
      <c r="D442" t="inlineStr">
        <is>
          <t>South</t>
        </is>
      </c>
      <c r="E442" s="5" t="n">
        <v>46037</v>
      </c>
      <c r="F442" t="n">
        <v>149</v>
      </c>
      <c r="G442">
        <f>IF(AND(F442&gt;5000,D442&lt;&gt;"East"),"High-Value Merchant Day","Normal")</f>
        <v/>
      </c>
    </row>
    <row r="443">
      <c r="A443" t="inlineStr">
        <is>
          <t>40_2026-01-18</t>
        </is>
      </c>
      <c r="B443" t="n">
        <v>40</v>
      </c>
      <c r="C443" t="inlineStr">
        <is>
          <t>Merchant_040</t>
        </is>
      </c>
      <c r="D443" t="inlineStr">
        <is>
          <t>South</t>
        </is>
      </c>
      <c r="E443" s="5" t="n">
        <v>46040</v>
      </c>
      <c r="F443" t="n">
        <v>799</v>
      </c>
      <c r="G443">
        <f>IF(AND(F443&gt;5000,D443&lt;&gt;"East"),"High-Value Merchant Day","Normal")</f>
        <v/>
      </c>
    </row>
    <row r="444">
      <c r="A444" t="inlineStr">
        <is>
          <t>40_2026-01-19</t>
        </is>
      </c>
      <c r="B444" t="n">
        <v>40</v>
      </c>
      <c r="C444" t="inlineStr">
        <is>
          <t>Merchant_040</t>
        </is>
      </c>
      <c r="D444" t="inlineStr">
        <is>
          <t>South</t>
        </is>
      </c>
      <c r="E444" s="5" t="n">
        <v>46041</v>
      </c>
      <c r="F444" t="n">
        <v>648</v>
      </c>
      <c r="G444">
        <f>IF(AND(F444&gt;5000,D444&lt;&gt;"East"),"High-Value Merchant Day","Normal")</f>
        <v/>
      </c>
    </row>
    <row r="445">
      <c r="A445" t="inlineStr">
        <is>
          <t>40_2026-01-23</t>
        </is>
      </c>
      <c r="B445" t="n">
        <v>40</v>
      </c>
      <c r="C445" t="inlineStr">
        <is>
          <t>Merchant_040</t>
        </is>
      </c>
      <c r="D445" t="inlineStr">
        <is>
          <t>South</t>
        </is>
      </c>
      <c r="E445" s="5" t="n">
        <v>46045</v>
      </c>
      <c r="F445" t="n">
        <v>598</v>
      </c>
      <c r="G445">
        <f>IF(AND(F445&gt;5000,D445&lt;&gt;"East"),"High-Value Merchant Day","Normal")</f>
        <v/>
      </c>
    </row>
    <row r="446">
      <c r="A446" t="inlineStr">
        <is>
          <t>40_2026-01-29</t>
        </is>
      </c>
      <c r="B446" t="n">
        <v>40</v>
      </c>
      <c r="C446" t="inlineStr">
        <is>
          <t>Merchant_040</t>
        </is>
      </c>
      <c r="D446" t="inlineStr">
        <is>
          <t>South</t>
        </is>
      </c>
      <c r="E446" s="5" t="n">
        <v>46051</v>
      </c>
      <c r="F446" t="n">
        <v>149</v>
      </c>
      <c r="G446">
        <f>IF(AND(F446&gt;5000,D446&lt;&gt;"East"),"High-Value Merchant Day","Normal")</f>
        <v/>
      </c>
    </row>
    <row r="447">
      <c r="A447" t="inlineStr">
        <is>
          <t>40_2026-01-30</t>
        </is>
      </c>
      <c r="B447" t="n">
        <v>40</v>
      </c>
      <c r="C447" t="inlineStr">
        <is>
          <t>Merchant_040</t>
        </is>
      </c>
      <c r="D447" t="inlineStr">
        <is>
          <t>South</t>
        </is>
      </c>
      <c r="E447" s="5" t="n">
        <v>46052</v>
      </c>
      <c r="F447" t="n">
        <v>499</v>
      </c>
      <c r="G447">
        <f>IF(AND(F447&gt;5000,D447&lt;&gt;"East"),"High-Value Merchant Day","Normal")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merchant_id</t>
        </is>
      </c>
      <c r="D1" s="1" t="inlineStr">
        <is>
          <t>transaction_time</t>
        </is>
      </c>
      <c r="E1" s="1" t="inlineStr">
        <is>
          <t>amount_inr</t>
        </is>
      </c>
      <c r="F1" s="1" t="inlineStr">
        <is>
          <t>payment_method</t>
        </is>
      </c>
      <c r="G1" s="1" t="inlineStr">
        <is>
          <t>status</t>
        </is>
      </c>
      <c r="H1" s="1" t="inlineStr">
        <is>
          <t>risk_score</t>
        </is>
      </c>
      <c r="I1" s="1" t="inlineStr">
        <is>
          <t>merchant_name (VLOOKUP)</t>
        </is>
      </c>
      <c r="J1" s="1" t="inlineStr">
        <is>
          <t>category (VLOOKUP)</t>
        </is>
      </c>
      <c r="K1" s="1" t="inlineStr">
        <is>
          <t>region (VLOOKUP)</t>
        </is>
      </c>
      <c r="L1" s="1" t="inlineStr">
        <is>
          <t>fee_pct (HLOOKUP)</t>
        </is>
      </c>
      <c r="M1" s="1" t="inlineStr">
        <is>
          <t>fee_amount_inr</t>
        </is>
      </c>
      <c r="N1" s="1" t="inlineStr">
        <is>
          <t>txn_date</t>
        </is>
      </c>
      <c r="O1" s="1" t="inlineStr">
        <is>
          <t>merchant_day_key</t>
        </is>
      </c>
      <c r="P1" s="1" t="inlineStr">
        <is>
          <t>day_classification (VLOOKUP link-back)</t>
        </is>
      </c>
    </row>
    <row r="2">
      <c r="A2" t="inlineStr">
        <is>
          <t>TXN100000</t>
        </is>
      </c>
      <c r="B2" t="n">
        <v>350</v>
      </c>
      <c r="C2" t="n">
        <v>16</v>
      </c>
      <c r="D2" s="6" t="n">
        <v>46051.46736111111</v>
      </c>
      <c r="E2" t="n">
        <v>2999</v>
      </c>
      <c r="F2" t="inlineStr">
        <is>
          <t>Wallet</t>
        </is>
      </c>
      <c r="G2" t="inlineStr">
        <is>
          <t>captured</t>
        </is>
      </c>
      <c r="H2" t="n">
        <v>85</v>
      </c>
      <c r="I2">
        <f>IFERROR(VLOOKUP(C2,Merchants!$A$2:$D$41,2,FALSE),"Merchant not found")</f>
        <v/>
      </c>
      <c r="J2">
        <f>IFERROR(VLOOKUP(C2,Merchants!$A$2:$D$41,3,FALSE),"Merchant not found")</f>
        <v/>
      </c>
      <c r="K2">
        <f>IFERROR(VLOOKUP(C2,Merchants!$A$2:$D$41,4,FALSE),"Merchant not found")</f>
        <v/>
      </c>
      <c r="L2" s="4">
        <f>HLOOKUP(F2,Fee_Tiers!$B$2:$E$3,2,FALSE)</f>
        <v/>
      </c>
      <c r="M2">
        <f>E2*L2</f>
        <v/>
      </c>
      <c r="N2" s="5" t="n">
        <v>46051</v>
      </c>
      <c r="O2">
        <f>C2&amp;"_"&amp;TEXT(N2,"yyyy-mm-dd")</f>
        <v/>
      </c>
      <c r="P2">
        <f>IFERROR(VLOOKUP(O2,Merchant_Day_Analysis!$A$5:$G$447,7,FALSE),"Not found")</f>
        <v/>
      </c>
    </row>
    <row r="3">
      <c r="A3" t="inlineStr">
        <is>
          <t>TXN100001</t>
        </is>
      </c>
      <c r="B3" t="n">
        <v>287</v>
      </c>
      <c r="C3" t="n">
        <v>27</v>
      </c>
      <c r="D3" s="6" t="n">
        <v>46026.49236111111</v>
      </c>
      <c r="E3" t="n">
        <v>49</v>
      </c>
      <c r="F3" t="inlineStr">
        <is>
          <t>UPI</t>
        </is>
      </c>
      <c r="G3" t="inlineStr">
        <is>
          <t>captured</t>
        </is>
      </c>
      <c r="H3" t="n">
        <v>79</v>
      </c>
      <c r="I3">
        <f>IFERROR(VLOOKUP(C3,Merchants!$A$2:$D$41,2,FALSE),"Merchant not found")</f>
        <v/>
      </c>
      <c r="J3">
        <f>IFERROR(VLOOKUP(C3,Merchants!$A$2:$D$41,3,FALSE),"Merchant not found")</f>
        <v/>
      </c>
      <c r="K3">
        <f>IFERROR(VLOOKUP(C3,Merchants!$A$2:$D$41,4,FALSE),"Merchant not found")</f>
        <v/>
      </c>
      <c r="L3" s="4">
        <f>HLOOKUP(F3,Fee_Tiers!$B$2:$E$3,2,FALSE)</f>
        <v/>
      </c>
      <c r="M3">
        <f>E3*L3</f>
        <v/>
      </c>
      <c r="N3" s="5" t="n">
        <v>46026</v>
      </c>
      <c r="O3">
        <f>C3&amp;"_"&amp;TEXT(N3,"yyyy-mm-dd")</f>
        <v/>
      </c>
      <c r="P3">
        <f>IFERROR(VLOOKUP(O3,Merchant_Day_Analysis!$A$5:$G$447,7,FALSE),"Not found")</f>
        <v/>
      </c>
    </row>
    <row r="4">
      <c r="A4" t="inlineStr">
        <is>
          <t>TXN100002</t>
        </is>
      </c>
      <c r="B4" t="n">
        <v>122</v>
      </c>
      <c r="C4" t="n">
        <v>11</v>
      </c>
      <c r="D4" s="6" t="n">
        <v>46046.20763888889</v>
      </c>
      <c r="E4" t="n">
        <v>1499</v>
      </c>
      <c r="F4" t="inlineStr">
        <is>
          <t>Wallet</t>
        </is>
      </c>
      <c r="G4" t="inlineStr">
        <is>
          <t>captured</t>
        </is>
      </c>
      <c r="H4" t="n">
        <v>22</v>
      </c>
      <c r="I4">
        <f>IFERROR(VLOOKUP(C4,Merchants!$A$2:$D$41,2,FALSE),"Merchant not found")</f>
        <v/>
      </c>
      <c r="J4">
        <f>IFERROR(VLOOKUP(C4,Merchants!$A$2:$D$41,3,FALSE),"Merchant not found")</f>
        <v/>
      </c>
      <c r="K4">
        <f>IFERROR(VLOOKUP(C4,Merchants!$A$2:$D$41,4,FALSE),"Merchant not found")</f>
        <v/>
      </c>
      <c r="L4" s="4">
        <f>HLOOKUP(F4,Fee_Tiers!$B$2:$E$3,2,FALSE)</f>
        <v/>
      </c>
      <c r="M4">
        <f>E4*L4</f>
        <v/>
      </c>
      <c r="N4" s="5" t="n">
        <v>46046</v>
      </c>
      <c r="O4">
        <f>C4&amp;"_"&amp;TEXT(N4,"yyyy-mm-dd")</f>
        <v/>
      </c>
      <c r="P4">
        <f>IFERROR(VLOOKUP(O4,Merchant_Day_Analysis!$A$5:$G$447,7,FALSE),"Not found")</f>
        <v/>
      </c>
    </row>
    <row r="5">
      <c r="A5" t="inlineStr">
        <is>
          <t>TXN100003</t>
        </is>
      </c>
      <c r="B5" t="n">
        <v>92</v>
      </c>
      <c r="C5" t="n">
        <v>22</v>
      </c>
      <c r="D5" s="6" t="n">
        <v>46051.54236111111</v>
      </c>
      <c r="E5" t="n">
        <v>49</v>
      </c>
      <c r="F5" t="inlineStr">
        <is>
          <t>Netbanking</t>
        </is>
      </c>
      <c r="G5" t="inlineStr">
        <is>
          <t>captured</t>
        </is>
      </c>
      <c r="H5" t="n">
        <v>100</v>
      </c>
      <c r="I5">
        <f>IFERROR(VLOOKUP(C5,Merchants!$A$2:$D$41,2,FALSE),"Merchant not found")</f>
        <v/>
      </c>
      <c r="J5">
        <f>IFERROR(VLOOKUP(C5,Merchants!$A$2:$D$41,3,FALSE),"Merchant not found")</f>
        <v/>
      </c>
      <c r="K5">
        <f>IFERROR(VLOOKUP(C5,Merchants!$A$2:$D$41,4,FALSE),"Merchant not found")</f>
        <v/>
      </c>
      <c r="L5" s="4">
        <f>HLOOKUP(F5,Fee_Tiers!$B$2:$E$3,2,FALSE)</f>
        <v/>
      </c>
      <c r="M5">
        <f>E5*L5</f>
        <v/>
      </c>
      <c r="N5" s="5" t="n">
        <v>46051</v>
      </c>
      <c r="O5">
        <f>C5&amp;"_"&amp;TEXT(N5,"yyyy-mm-dd")</f>
        <v/>
      </c>
      <c r="P5">
        <f>IFERROR(VLOOKUP(O5,Merchant_Day_Analysis!$A$5:$G$447,7,FALSE),"Not found")</f>
        <v/>
      </c>
    </row>
    <row r="6">
      <c r="A6" t="inlineStr">
        <is>
          <t>TXN100004</t>
        </is>
      </c>
      <c r="B6" t="n">
        <v>343</v>
      </c>
      <c r="C6" t="n">
        <v>16</v>
      </c>
      <c r="D6" s="6" t="n">
        <v>46052.57708333333</v>
      </c>
      <c r="E6" t="n">
        <v>99</v>
      </c>
      <c r="F6" t="inlineStr">
        <is>
          <t>UPI</t>
        </is>
      </c>
      <c r="G6" t="inlineStr">
        <is>
          <t>captured</t>
        </is>
      </c>
      <c r="H6" t="n">
        <v>34</v>
      </c>
      <c r="I6">
        <f>IFERROR(VLOOKUP(C6,Merchants!$A$2:$D$41,2,FALSE),"Merchant not found")</f>
        <v/>
      </c>
      <c r="J6">
        <f>IFERROR(VLOOKUP(C6,Merchants!$A$2:$D$41,3,FALSE),"Merchant not found")</f>
        <v/>
      </c>
      <c r="K6">
        <f>IFERROR(VLOOKUP(C6,Merchants!$A$2:$D$41,4,FALSE),"Merchant not found")</f>
        <v/>
      </c>
      <c r="L6" s="4">
        <f>HLOOKUP(F6,Fee_Tiers!$B$2:$E$3,2,FALSE)</f>
        <v/>
      </c>
      <c r="M6">
        <f>E6*L6</f>
        <v/>
      </c>
      <c r="N6" s="5" t="n">
        <v>46052</v>
      </c>
      <c r="O6">
        <f>C6&amp;"_"&amp;TEXT(N6,"yyyy-mm-dd")</f>
        <v/>
      </c>
      <c r="P6">
        <f>IFERROR(VLOOKUP(O6,Merchant_Day_Analysis!$A$5:$G$447,7,FALSE),"Not found")</f>
        <v/>
      </c>
    </row>
    <row r="7">
      <c r="A7" t="inlineStr">
        <is>
          <t>TXN100005</t>
        </is>
      </c>
      <c r="B7" t="n">
        <v>196</v>
      </c>
      <c r="C7" t="n">
        <v>3</v>
      </c>
      <c r="D7" s="6" t="n">
        <v>46028.92083333333</v>
      </c>
      <c r="E7" t="n">
        <v>99</v>
      </c>
      <c r="F7" t="inlineStr">
        <is>
          <t>UPI</t>
        </is>
      </c>
      <c r="G7" t="inlineStr">
        <is>
          <t>captured</t>
        </is>
      </c>
      <c r="H7" t="n">
        <v>60</v>
      </c>
      <c r="I7">
        <f>IFERROR(VLOOKUP(C7,Merchants!$A$2:$D$41,2,FALSE),"Merchant not found")</f>
        <v/>
      </c>
      <c r="J7">
        <f>IFERROR(VLOOKUP(C7,Merchants!$A$2:$D$41,3,FALSE),"Merchant not found")</f>
        <v/>
      </c>
      <c r="K7">
        <f>IFERROR(VLOOKUP(C7,Merchants!$A$2:$D$41,4,FALSE),"Merchant not found")</f>
        <v/>
      </c>
      <c r="L7" s="4">
        <f>HLOOKUP(F7,Fee_Tiers!$B$2:$E$3,2,FALSE)</f>
        <v/>
      </c>
      <c r="M7">
        <f>E7*L7</f>
        <v/>
      </c>
      <c r="N7" s="5" t="n">
        <v>46028</v>
      </c>
      <c r="O7">
        <f>C7&amp;"_"&amp;TEXT(N7,"yyyy-mm-dd")</f>
        <v/>
      </c>
      <c r="P7">
        <f>IFERROR(VLOOKUP(O7,Merchant_Day_Analysis!$A$5:$G$447,7,FALSE),"Not found")</f>
        <v/>
      </c>
    </row>
    <row r="8">
      <c r="A8" t="inlineStr">
        <is>
          <t>TXN100006</t>
        </is>
      </c>
      <c r="B8" t="n">
        <v>236</v>
      </c>
      <c r="C8" t="n">
        <v>23</v>
      </c>
      <c r="D8" s="6" t="n">
        <v>46030.28611111111</v>
      </c>
      <c r="E8" t="n">
        <v>99</v>
      </c>
      <c r="F8" t="inlineStr">
        <is>
          <t>Wallet</t>
        </is>
      </c>
      <c r="G8" t="inlineStr">
        <is>
          <t>captured</t>
        </is>
      </c>
      <c r="H8" t="n">
        <v>39</v>
      </c>
      <c r="I8">
        <f>IFERROR(VLOOKUP(C8,Merchants!$A$2:$D$41,2,FALSE),"Merchant not found")</f>
        <v/>
      </c>
      <c r="J8">
        <f>IFERROR(VLOOKUP(C8,Merchants!$A$2:$D$41,3,FALSE),"Merchant not found")</f>
        <v/>
      </c>
      <c r="K8">
        <f>IFERROR(VLOOKUP(C8,Merchants!$A$2:$D$41,4,FALSE),"Merchant not found")</f>
        <v/>
      </c>
      <c r="L8" s="4">
        <f>HLOOKUP(F8,Fee_Tiers!$B$2:$E$3,2,FALSE)</f>
        <v/>
      </c>
      <c r="M8">
        <f>E8*L8</f>
        <v/>
      </c>
      <c r="N8" s="5" t="n">
        <v>46030</v>
      </c>
      <c r="O8">
        <f>C8&amp;"_"&amp;TEXT(N8,"yyyy-mm-dd")</f>
        <v/>
      </c>
      <c r="P8">
        <f>IFERROR(VLOOKUP(O8,Merchant_Day_Analysis!$A$5:$G$447,7,FALSE),"Not found")</f>
        <v/>
      </c>
    </row>
    <row r="9">
      <c r="A9" t="inlineStr">
        <is>
          <t>TXN100007</t>
        </is>
      </c>
      <c r="B9" t="n">
        <v>13</v>
      </c>
      <c r="C9" t="n">
        <v>13</v>
      </c>
      <c r="D9" s="6" t="n">
        <v>46049.30138888889</v>
      </c>
      <c r="E9" t="n">
        <v>99</v>
      </c>
      <c r="F9" t="inlineStr">
        <is>
          <t>UPI</t>
        </is>
      </c>
      <c r="G9" t="inlineStr">
        <is>
          <t>captured</t>
        </is>
      </c>
      <c r="H9" t="n">
        <v>51</v>
      </c>
      <c r="I9">
        <f>IFERROR(VLOOKUP(C9,Merchants!$A$2:$D$41,2,FALSE),"Merchant not found")</f>
        <v/>
      </c>
      <c r="J9">
        <f>IFERROR(VLOOKUP(C9,Merchants!$A$2:$D$41,3,FALSE),"Merchant not found")</f>
        <v/>
      </c>
      <c r="K9">
        <f>IFERROR(VLOOKUP(C9,Merchants!$A$2:$D$41,4,FALSE),"Merchant not found")</f>
        <v/>
      </c>
      <c r="L9" s="4">
        <f>HLOOKUP(F9,Fee_Tiers!$B$2:$E$3,2,FALSE)</f>
        <v/>
      </c>
      <c r="M9">
        <f>E9*L9</f>
        <v/>
      </c>
      <c r="N9" s="5" t="n">
        <v>46049</v>
      </c>
      <c r="O9">
        <f>C9&amp;"_"&amp;TEXT(N9,"yyyy-mm-dd")</f>
        <v/>
      </c>
      <c r="P9">
        <f>IFERROR(VLOOKUP(O9,Merchant_Day_Analysis!$A$5:$G$447,7,FALSE),"Not found")</f>
        <v/>
      </c>
    </row>
    <row r="10">
      <c r="A10" t="inlineStr">
        <is>
          <t>TXN100008</t>
        </is>
      </c>
      <c r="B10" t="n">
        <v>36</v>
      </c>
      <c r="C10" t="n">
        <v>18</v>
      </c>
      <c r="D10" s="6" t="n">
        <v>46033.37152777778</v>
      </c>
      <c r="E10" t="n">
        <v>799</v>
      </c>
      <c r="F10" t="inlineStr">
        <is>
          <t>UPI</t>
        </is>
      </c>
      <c r="G10" t="inlineStr">
        <is>
          <t>captured</t>
        </is>
      </c>
      <c r="H10" t="n">
        <v>44</v>
      </c>
      <c r="I10">
        <f>IFERROR(VLOOKUP(C10,Merchants!$A$2:$D$41,2,FALSE),"Merchant not found")</f>
        <v/>
      </c>
      <c r="J10">
        <f>IFERROR(VLOOKUP(C10,Merchants!$A$2:$D$41,3,FALSE),"Merchant not found")</f>
        <v/>
      </c>
      <c r="K10">
        <f>IFERROR(VLOOKUP(C10,Merchants!$A$2:$D$41,4,FALSE),"Merchant not found")</f>
        <v/>
      </c>
      <c r="L10" s="4">
        <f>HLOOKUP(F10,Fee_Tiers!$B$2:$E$3,2,FALSE)</f>
        <v/>
      </c>
      <c r="M10">
        <f>E10*L10</f>
        <v/>
      </c>
      <c r="N10" s="5" t="n">
        <v>46033</v>
      </c>
      <c r="O10">
        <f>C10&amp;"_"&amp;TEXT(N10,"yyyy-mm-dd")</f>
        <v/>
      </c>
      <c r="P10">
        <f>IFERROR(VLOOKUP(O10,Merchant_Day_Analysis!$A$5:$G$447,7,FALSE),"Not found")</f>
        <v/>
      </c>
    </row>
    <row r="11">
      <c r="A11" t="inlineStr">
        <is>
          <t>TXN100009</t>
        </is>
      </c>
      <c r="B11" t="n">
        <v>348</v>
      </c>
      <c r="C11" t="n">
        <v>35</v>
      </c>
      <c r="D11" s="6" t="n">
        <v>46043.68402777778</v>
      </c>
      <c r="E11" t="n">
        <v>299</v>
      </c>
      <c r="F11" t="inlineStr">
        <is>
          <t>UPI</t>
        </is>
      </c>
      <c r="G11" t="inlineStr">
        <is>
          <t>captured</t>
        </is>
      </c>
      <c r="H11" t="n">
        <v>42</v>
      </c>
      <c r="I11">
        <f>IFERROR(VLOOKUP(C11,Merchants!$A$2:$D$41,2,FALSE),"Merchant not found")</f>
        <v/>
      </c>
      <c r="J11">
        <f>IFERROR(VLOOKUP(C11,Merchants!$A$2:$D$41,3,FALSE),"Merchant not found")</f>
        <v/>
      </c>
      <c r="K11">
        <f>IFERROR(VLOOKUP(C11,Merchants!$A$2:$D$41,4,FALSE),"Merchant not found")</f>
        <v/>
      </c>
      <c r="L11" s="4">
        <f>HLOOKUP(F11,Fee_Tiers!$B$2:$E$3,2,FALSE)</f>
        <v/>
      </c>
      <c r="M11">
        <f>E11*L11</f>
        <v/>
      </c>
      <c r="N11" s="5" t="n">
        <v>46043</v>
      </c>
      <c r="O11">
        <f>C11&amp;"_"&amp;TEXT(N11,"yyyy-mm-dd")</f>
        <v/>
      </c>
      <c r="P11">
        <f>IFERROR(VLOOKUP(O11,Merchant_Day_Analysis!$A$5:$G$447,7,FALSE),"Not found")</f>
        <v/>
      </c>
    </row>
    <row r="12">
      <c r="A12" t="inlineStr">
        <is>
          <t>TXN100010</t>
        </is>
      </c>
      <c r="B12" t="n">
        <v>134</v>
      </c>
      <c r="C12" t="n">
        <v>12</v>
      </c>
      <c r="D12" s="6" t="n">
        <v>46023.16388888889</v>
      </c>
      <c r="E12" t="n">
        <v>49</v>
      </c>
      <c r="F12" t="inlineStr">
        <is>
          <t>UPI</t>
        </is>
      </c>
      <c r="G12" t="inlineStr">
        <is>
          <t>captured</t>
        </is>
      </c>
      <c r="H12" t="n">
        <v>74</v>
      </c>
      <c r="I12">
        <f>IFERROR(VLOOKUP(C12,Merchants!$A$2:$D$41,2,FALSE),"Merchant not found")</f>
        <v/>
      </c>
      <c r="J12">
        <f>IFERROR(VLOOKUP(C12,Merchants!$A$2:$D$41,3,FALSE),"Merchant not found")</f>
        <v/>
      </c>
      <c r="K12">
        <f>IFERROR(VLOOKUP(C12,Merchants!$A$2:$D$41,4,FALSE),"Merchant not found")</f>
        <v/>
      </c>
      <c r="L12" s="4">
        <f>HLOOKUP(F12,Fee_Tiers!$B$2:$E$3,2,FALSE)</f>
        <v/>
      </c>
      <c r="M12">
        <f>E12*L12</f>
        <v/>
      </c>
      <c r="N12" s="5" t="n">
        <v>46023</v>
      </c>
      <c r="O12">
        <f>C12&amp;"_"&amp;TEXT(N12,"yyyy-mm-dd")</f>
        <v/>
      </c>
      <c r="P12">
        <f>IFERROR(VLOOKUP(O12,Merchant_Day_Analysis!$A$5:$G$447,7,FALSE),"Not found")</f>
        <v/>
      </c>
    </row>
    <row r="13">
      <c r="A13" t="inlineStr">
        <is>
          <t>TXN100011</t>
        </is>
      </c>
      <c r="B13" t="n">
        <v>306</v>
      </c>
      <c r="C13" t="n">
        <v>28</v>
      </c>
      <c r="D13" s="6" t="n">
        <v>46031.04583333333</v>
      </c>
      <c r="E13" t="n">
        <v>2999</v>
      </c>
      <c r="F13" t="inlineStr">
        <is>
          <t>Card</t>
        </is>
      </c>
      <c r="G13" t="inlineStr">
        <is>
          <t>failed</t>
        </is>
      </c>
      <c r="H13" t="n">
        <v>44</v>
      </c>
      <c r="I13">
        <f>IFERROR(VLOOKUP(C13,Merchants!$A$2:$D$41,2,FALSE),"Merchant not found")</f>
        <v/>
      </c>
      <c r="J13">
        <f>IFERROR(VLOOKUP(C13,Merchants!$A$2:$D$41,3,FALSE),"Merchant not found")</f>
        <v/>
      </c>
      <c r="K13">
        <f>IFERROR(VLOOKUP(C13,Merchants!$A$2:$D$41,4,FALSE),"Merchant not found")</f>
        <v/>
      </c>
      <c r="L13" s="4">
        <f>HLOOKUP(F13,Fee_Tiers!$B$2:$E$3,2,FALSE)</f>
        <v/>
      </c>
      <c r="M13">
        <f>E13*L13</f>
        <v/>
      </c>
      <c r="N13" s="5" t="n">
        <v>46031</v>
      </c>
      <c r="O13">
        <f>C13&amp;"_"&amp;TEXT(N13,"yyyy-mm-dd")</f>
        <v/>
      </c>
      <c r="P13">
        <f>IFERROR(VLOOKUP(O13,Merchant_Day_Analysis!$A$5:$G$447,7,FALSE),"Not found")</f>
        <v/>
      </c>
    </row>
    <row r="14">
      <c r="A14" t="inlineStr">
        <is>
          <t>TXN100012</t>
        </is>
      </c>
      <c r="B14" t="n">
        <v>311</v>
      </c>
      <c r="C14" t="n">
        <v>33</v>
      </c>
      <c r="D14" s="6" t="n">
        <v>46046.43541666667</v>
      </c>
      <c r="E14" t="n">
        <v>49</v>
      </c>
      <c r="F14" t="inlineStr">
        <is>
          <t>Wallet</t>
        </is>
      </c>
      <c r="G14" t="inlineStr">
        <is>
          <t>captured</t>
        </is>
      </c>
      <c r="H14" t="n">
        <v>14</v>
      </c>
      <c r="I14">
        <f>IFERROR(VLOOKUP(C14,Merchants!$A$2:$D$41,2,FALSE),"Merchant not found")</f>
        <v/>
      </c>
      <c r="J14">
        <f>IFERROR(VLOOKUP(C14,Merchants!$A$2:$D$41,3,FALSE),"Merchant not found")</f>
        <v/>
      </c>
      <c r="K14">
        <f>IFERROR(VLOOKUP(C14,Merchants!$A$2:$D$41,4,FALSE),"Merchant not found")</f>
        <v/>
      </c>
      <c r="L14" s="4">
        <f>HLOOKUP(F14,Fee_Tiers!$B$2:$E$3,2,FALSE)</f>
        <v/>
      </c>
      <c r="M14">
        <f>E14*L14</f>
        <v/>
      </c>
      <c r="N14" s="5" t="n">
        <v>46046</v>
      </c>
      <c r="O14">
        <f>C14&amp;"_"&amp;TEXT(N14,"yyyy-mm-dd")</f>
        <v/>
      </c>
      <c r="P14">
        <f>IFERROR(VLOOKUP(O14,Merchant_Day_Analysis!$A$5:$G$447,7,FALSE),"Not found")</f>
        <v/>
      </c>
    </row>
    <row r="15">
      <c r="A15" t="inlineStr">
        <is>
          <t>TXN100013</t>
        </is>
      </c>
      <c r="B15" t="n">
        <v>131</v>
      </c>
      <c r="C15" t="n">
        <v>3</v>
      </c>
      <c r="D15" s="6" t="n">
        <v>46035.75833333333</v>
      </c>
      <c r="E15" t="n">
        <v>49</v>
      </c>
      <c r="F15" t="inlineStr">
        <is>
          <t>UPI</t>
        </is>
      </c>
      <c r="G15" t="inlineStr">
        <is>
          <t>captured</t>
        </is>
      </c>
      <c r="H15" t="n">
        <v>90</v>
      </c>
      <c r="I15">
        <f>IFERROR(VLOOKUP(C15,Merchants!$A$2:$D$41,2,FALSE),"Merchant not found")</f>
        <v/>
      </c>
      <c r="J15">
        <f>IFERROR(VLOOKUP(C15,Merchants!$A$2:$D$41,3,FALSE),"Merchant not found")</f>
        <v/>
      </c>
      <c r="K15">
        <f>IFERROR(VLOOKUP(C15,Merchants!$A$2:$D$41,4,FALSE),"Merchant not found")</f>
        <v/>
      </c>
      <c r="L15" s="4">
        <f>HLOOKUP(F15,Fee_Tiers!$B$2:$E$3,2,FALSE)</f>
        <v/>
      </c>
      <c r="M15">
        <f>E15*L15</f>
        <v/>
      </c>
      <c r="N15" s="5" t="n">
        <v>46035</v>
      </c>
      <c r="O15">
        <f>C15&amp;"_"&amp;TEXT(N15,"yyyy-mm-dd")</f>
        <v/>
      </c>
      <c r="P15">
        <f>IFERROR(VLOOKUP(O15,Merchant_Day_Analysis!$A$5:$G$447,7,FALSE),"Not found")</f>
        <v/>
      </c>
    </row>
    <row r="16">
      <c r="A16" t="inlineStr">
        <is>
          <t>TXN100014</t>
        </is>
      </c>
      <c r="B16" t="n">
        <v>276</v>
      </c>
      <c r="C16" t="n">
        <v>13</v>
      </c>
      <c r="D16" s="6" t="n">
        <v>46036.02291666667</v>
      </c>
      <c r="E16" t="n">
        <v>1499</v>
      </c>
      <c r="F16" t="inlineStr">
        <is>
          <t>UPI</t>
        </is>
      </c>
      <c r="G16" t="inlineStr">
        <is>
          <t>captured</t>
        </is>
      </c>
      <c r="H16" t="n">
        <v>46</v>
      </c>
      <c r="I16">
        <f>IFERROR(VLOOKUP(C16,Merchants!$A$2:$D$41,2,FALSE),"Merchant not found")</f>
        <v/>
      </c>
      <c r="J16">
        <f>IFERROR(VLOOKUP(C16,Merchants!$A$2:$D$41,3,FALSE),"Merchant not found")</f>
        <v/>
      </c>
      <c r="K16">
        <f>IFERROR(VLOOKUP(C16,Merchants!$A$2:$D$41,4,FALSE),"Merchant not found")</f>
        <v/>
      </c>
      <c r="L16" s="4">
        <f>HLOOKUP(F16,Fee_Tiers!$B$2:$E$3,2,FALSE)</f>
        <v/>
      </c>
      <c r="M16">
        <f>E16*L16</f>
        <v/>
      </c>
      <c r="N16" s="5" t="n">
        <v>46036</v>
      </c>
      <c r="O16">
        <f>C16&amp;"_"&amp;TEXT(N16,"yyyy-mm-dd")</f>
        <v/>
      </c>
      <c r="P16">
        <f>IFERROR(VLOOKUP(O16,Merchant_Day_Analysis!$A$5:$G$447,7,FALSE),"Not found")</f>
        <v/>
      </c>
    </row>
    <row r="17">
      <c r="A17" t="inlineStr">
        <is>
          <t>TXN100015</t>
        </is>
      </c>
      <c r="B17" t="n">
        <v>170</v>
      </c>
      <c r="C17" t="n">
        <v>40</v>
      </c>
      <c r="D17" s="6" t="n">
        <v>46036.1125</v>
      </c>
      <c r="E17" t="n">
        <v>99</v>
      </c>
      <c r="F17" t="inlineStr">
        <is>
          <t>UPI</t>
        </is>
      </c>
      <c r="G17" t="inlineStr">
        <is>
          <t>captured</t>
        </is>
      </c>
      <c r="H17" t="n">
        <v>40</v>
      </c>
      <c r="I17">
        <f>IFERROR(VLOOKUP(C17,Merchants!$A$2:$D$41,2,FALSE),"Merchant not found")</f>
        <v/>
      </c>
      <c r="J17">
        <f>IFERROR(VLOOKUP(C17,Merchants!$A$2:$D$41,3,FALSE),"Merchant not found")</f>
        <v/>
      </c>
      <c r="K17">
        <f>IFERROR(VLOOKUP(C17,Merchants!$A$2:$D$41,4,FALSE),"Merchant not found")</f>
        <v/>
      </c>
      <c r="L17" s="4">
        <f>HLOOKUP(F17,Fee_Tiers!$B$2:$E$3,2,FALSE)</f>
        <v/>
      </c>
      <c r="M17">
        <f>E17*L17</f>
        <v/>
      </c>
      <c r="N17" s="5" t="n">
        <v>46036</v>
      </c>
      <c r="O17">
        <f>C17&amp;"_"&amp;TEXT(N17,"yyyy-mm-dd")</f>
        <v/>
      </c>
      <c r="P17">
        <f>IFERROR(VLOOKUP(O17,Merchant_Day_Analysis!$A$5:$G$447,7,FALSE),"Not found")</f>
        <v/>
      </c>
    </row>
    <row r="18">
      <c r="A18" t="inlineStr">
        <is>
          <t>TXN100016</t>
        </is>
      </c>
      <c r="B18" t="n">
        <v>154</v>
      </c>
      <c r="C18" t="n">
        <v>33</v>
      </c>
      <c r="D18" s="6" t="n">
        <v>46044.15694444445</v>
      </c>
      <c r="E18" t="n">
        <v>99</v>
      </c>
      <c r="F18" t="inlineStr">
        <is>
          <t>Netbanking</t>
        </is>
      </c>
      <c r="G18" t="inlineStr">
        <is>
          <t>captured</t>
        </is>
      </c>
      <c r="H18" t="n">
        <v>39</v>
      </c>
      <c r="I18">
        <f>IFERROR(VLOOKUP(C18,Merchants!$A$2:$D$41,2,FALSE),"Merchant not found")</f>
        <v/>
      </c>
      <c r="J18">
        <f>IFERROR(VLOOKUP(C18,Merchants!$A$2:$D$41,3,FALSE),"Merchant not found")</f>
        <v/>
      </c>
      <c r="K18">
        <f>IFERROR(VLOOKUP(C18,Merchants!$A$2:$D$41,4,FALSE),"Merchant not found")</f>
        <v/>
      </c>
      <c r="L18" s="4">
        <f>HLOOKUP(F18,Fee_Tiers!$B$2:$E$3,2,FALSE)</f>
        <v/>
      </c>
      <c r="M18">
        <f>E18*L18</f>
        <v/>
      </c>
      <c r="N18" s="5" t="n">
        <v>46044</v>
      </c>
      <c r="O18">
        <f>C18&amp;"_"&amp;TEXT(N18,"yyyy-mm-dd")</f>
        <v/>
      </c>
      <c r="P18">
        <f>IFERROR(VLOOKUP(O18,Merchant_Day_Analysis!$A$5:$G$447,7,FALSE),"Not found")</f>
        <v/>
      </c>
    </row>
    <row r="19">
      <c r="A19" t="inlineStr">
        <is>
          <t>TXN100017</t>
        </is>
      </c>
      <c r="B19" t="n">
        <v>207</v>
      </c>
      <c r="C19" t="n">
        <v>19</v>
      </c>
      <c r="D19" s="6" t="n">
        <v>46044.55555555555</v>
      </c>
      <c r="E19" t="n">
        <v>2999</v>
      </c>
      <c r="F19" t="inlineStr">
        <is>
          <t>Card</t>
        </is>
      </c>
      <c r="G19" t="inlineStr">
        <is>
          <t>captured</t>
        </is>
      </c>
      <c r="H19" t="n">
        <v>70</v>
      </c>
      <c r="I19">
        <f>IFERROR(VLOOKUP(C19,Merchants!$A$2:$D$41,2,FALSE),"Merchant not found")</f>
        <v/>
      </c>
      <c r="J19">
        <f>IFERROR(VLOOKUP(C19,Merchants!$A$2:$D$41,3,FALSE),"Merchant not found")</f>
        <v/>
      </c>
      <c r="K19">
        <f>IFERROR(VLOOKUP(C19,Merchants!$A$2:$D$41,4,FALSE),"Merchant not found")</f>
        <v/>
      </c>
      <c r="L19" s="4">
        <f>HLOOKUP(F19,Fee_Tiers!$B$2:$E$3,2,FALSE)</f>
        <v/>
      </c>
      <c r="M19">
        <f>E19*L19</f>
        <v/>
      </c>
      <c r="N19" s="5" t="n">
        <v>46044</v>
      </c>
      <c r="O19">
        <f>C19&amp;"_"&amp;TEXT(N19,"yyyy-mm-dd")</f>
        <v/>
      </c>
      <c r="P19">
        <f>IFERROR(VLOOKUP(O19,Merchant_Day_Analysis!$A$5:$G$447,7,FALSE),"Not found")</f>
        <v/>
      </c>
    </row>
    <row r="20">
      <c r="A20" t="inlineStr">
        <is>
          <t>TXN100018</t>
        </is>
      </c>
      <c r="B20" t="n">
        <v>341</v>
      </c>
      <c r="C20" t="n">
        <v>25</v>
      </c>
      <c r="D20" s="6" t="n">
        <v>46027.26805555556</v>
      </c>
      <c r="E20" t="n">
        <v>2999</v>
      </c>
      <c r="F20" t="inlineStr">
        <is>
          <t>UPI</t>
        </is>
      </c>
      <c r="G20" t="inlineStr">
        <is>
          <t>captured</t>
        </is>
      </c>
      <c r="H20" t="n">
        <v>86</v>
      </c>
      <c r="I20">
        <f>IFERROR(VLOOKUP(C20,Merchants!$A$2:$D$41,2,FALSE),"Merchant not found")</f>
        <v/>
      </c>
      <c r="J20">
        <f>IFERROR(VLOOKUP(C20,Merchants!$A$2:$D$41,3,FALSE),"Merchant not found")</f>
        <v/>
      </c>
      <c r="K20">
        <f>IFERROR(VLOOKUP(C20,Merchants!$A$2:$D$41,4,FALSE),"Merchant not found")</f>
        <v/>
      </c>
      <c r="L20" s="4">
        <f>HLOOKUP(F20,Fee_Tiers!$B$2:$E$3,2,FALSE)</f>
        <v/>
      </c>
      <c r="M20">
        <f>E20*L20</f>
        <v/>
      </c>
      <c r="N20" s="5" t="n">
        <v>46027</v>
      </c>
      <c r="O20">
        <f>C20&amp;"_"&amp;TEXT(N20,"yyyy-mm-dd")</f>
        <v/>
      </c>
      <c r="P20">
        <f>IFERROR(VLOOKUP(O20,Merchant_Day_Analysis!$A$5:$G$447,7,FALSE),"Not found")</f>
        <v/>
      </c>
    </row>
    <row r="21">
      <c r="A21" t="inlineStr">
        <is>
          <t>TXN100019</t>
        </is>
      </c>
      <c r="B21" t="n">
        <v>292</v>
      </c>
      <c r="C21" t="n">
        <v>20</v>
      </c>
      <c r="D21" s="6" t="n">
        <v>46046.23541666667</v>
      </c>
      <c r="E21" t="n">
        <v>49</v>
      </c>
      <c r="F21" t="inlineStr">
        <is>
          <t>UPI</t>
        </is>
      </c>
      <c r="G21" t="inlineStr">
        <is>
          <t>captured</t>
        </is>
      </c>
      <c r="H21" t="n">
        <v>51</v>
      </c>
      <c r="I21">
        <f>IFERROR(VLOOKUP(C21,Merchants!$A$2:$D$41,2,FALSE),"Merchant not found")</f>
        <v/>
      </c>
      <c r="J21">
        <f>IFERROR(VLOOKUP(C21,Merchants!$A$2:$D$41,3,FALSE),"Merchant not found")</f>
        <v/>
      </c>
      <c r="K21">
        <f>IFERROR(VLOOKUP(C21,Merchants!$A$2:$D$41,4,FALSE),"Merchant not found")</f>
        <v/>
      </c>
      <c r="L21" s="4">
        <f>HLOOKUP(F21,Fee_Tiers!$B$2:$E$3,2,FALSE)</f>
        <v/>
      </c>
      <c r="M21">
        <f>E21*L21</f>
        <v/>
      </c>
      <c r="N21" s="5" t="n">
        <v>46046</v>
      </c>
      <c r="O21">
        <f>C21&amp;"_"&amp;TEXT(N21,"yyyy-mm-dd")</f>
        <v/>
      </c>
      <c r="P21">
        <f>IFERROR(VLOOKUP(O21,Merchant_Day_Analysis!$A$5:$G$447,7,FALSE),"Not found")</f>
        <v/>
      </c>
    </row>
    <row r="22">
      <c r="A22" t="inlineStr">
        <is>
          <t>TXN100020</t>
        </is>
      </c>
      <c r="B22" t="n">
        <v>147</v>
      </c>
      <c r="C22" t="n">
        <v>14</v>
      </c>
      <c r="D22" s="6" t="n">
        <v>46040.01319444444</v>
      </c>
      <c r="E22" t="n">
        <v>99</v>
      </c>
      <c r="F22" t="inlineStr">
        <is>
          <t>Card</t>
        </is>
      </c>
      <c r="G22" t="inlineStr">
        <is>
          <t>captured</t>
        </is>
      </c>
      <c r="H22" t="n">
        <v>55</v>
      </c>
      <c r="I22">
        <f>IFERROR(VLOOKUP(C22,Merchants!$A$2:$D$41,2,FALSE),"Merchant not found")</f>
        <v/>
      </c>
      <c r="J22">
        <f>IFERROR(VLOOKUP(C22,Merchants!$A$2:$D$41,3,FALSE),"Merchant not found")</f>
        <v/>
      </c>
      <c r="K22">
        <f>IFERROR(VLOOKUP(C22,Merchants!$A$2:$D$41,4,FALSE),"Merchant not found")</f>
        <v/>
      </c>
      <c r="L22" s="4">
        <f>HLOOKUP(F22,Fee_Tiers!$B$2:$E$3,2,FALSE)</f>
        <v/>
      </c>
      <c r="M22">
        <f>E22*L22</f>
        <v/>
      </c>
      <c r="N22" s="5" t="n">
        <v>46040</v>
      </c>
      <c r="O22">
        <f>C22&amp;"_"&amp;TEXT(N22,"yyyy-mm-dd")</f>
        <v/>
      </c>
      <c r="P22">
        <f>IFERROR(VLOOKUP(O22,Merchant_Day_Analysis!$A$5:$G$447,7,FALSE),"Not found")</f>
        <v/>
      </c>
    </row>
    <row r="23">
      <c r="A23" t="inlineStr">
        <is>
          <t>TXN100021</t>
        </is>
      </c>
      <c r="B23" t="n">
        <v>336</v>
      </c>
      <c r="C23" t="n">
        <v>21</v>
      </c>
      <c r="D23" s="6" t="n">
        <v>46048.77638888889</v>
      </c>
      <c r="E23" t="n">
        <v>99</v>
      </c>
      <c r="F23" t="inlineStr">
        <is>
          <t>UPI</t>
        </is>
      </c>
      <c r="G23" t="inlineStr">
        <is>
          <t>captured</t>
        </is>
      </c>
      <c r="H23" t="n">
        <v>59</v>
      </c>
      <c r="I23">
        <f>IFERROR(VLOOKUP(C23,Merchants!$A$2:$D$41,2,FALSE),"Merchant not found")</f>
        <v/>
      </c>
      <c r="J23">
        <f>IFERROR(VLOOKUP(C23,Merchants!$A$2:$D$41,3,FALSE),"Merchant not found")</f>
        <v/>
      </c>
      <c r="K23">
        <f>IFERROR(VLOOKUP(C23,Merchants!$A$2:$D$41,4,FALSE),"Merchant not found")</f>
        <v/>
      </c>
      <c r="L23" s="4">
        <f>HLOOKUP(F23,Fee_Tiers!$B$2:$E$3,2,FALSE)</f>
        <v/>
      </c>
      <c r="M23">
        <f>E23*L23</f>
        <v/>
      </c>
      <c r="N23" s="5" t="n">
        <v>46048</v>
      </c>
      <c r="O23">
        <f>C23&amp;"_"&amp;TEXT(N23,"yyyy-mm-dd")</f>
        <v/>
      </c>
      <c r="P23">
        <f>IFERROR(VLOOKUP(O23,Merchant_Day_Analysis!$A$5:$G$447,7,FALSE),"Not found")</f>
        <v/>
      </c>
    </row>
    <row r="24">
      <c r="A24" t="inlineStr">
        <is>
          <t>TXN100022</t>
        </is>
      </c>
      <c r="B24" t="n">
        <v>110</v>
      </c>
      <c r="C24" t="n">
        <v>33</v>
      </c>
      <c r="D24" s="6" t="n">
        <v>46037.61319444444</v>
      </c>
      <c r="E24" t="n">
        <v>799</v>
      </c>
      <c r="F24" t="inlineStr">
        <is>
          <t>UPI</t>
        </is>
      </c>
      <c r="G24" t="inlineStr">
        <is>
          <t>captured</t>
        </is>
      </c>
      <c r="H24" t="n">
        <v>60</v>
      </c>
      <c r="I24">
        <f>IFERROR(VLOOKUP(C24,Merchants!$A$2:$D$41,2,FALSE),"Merchant not found")</f>
        <v/>
      </c>
      <c r="J24">
        <f>IFERROR(VLOOKUP(C24,Merchants!$A$2:$D$41,3,FALSE),"Merchant not found")</f>
        <v/>
      </c>
      <c r="K24">
        <f>IFERROR(VLOOKUP(C24,Merchants!$A$2:$D$41,4,FALSE),"Merchant not found")</f>
        <v/>
      </c>
      <c r="L24" s="4">
        <f>HLOOKUP(F24,Fee_Tiers!$B$2:$E$3,2,FALSE)</f>
        <v/>
      </c>
      <c r="M24">
        <f>E24*L24</f>
        <v/>
      </c>
      <c r="N24" s="5" t="n">
        <v>46037</v>
      </c>
      <c r="O24">
        <f>C24&amp;"_"&amp;TEXT(N24,"yyyy-mm-dd")</f>
        <v/>
      </c>
      <c r="P24">
        <f>IFERROR(VLOOKUP(O24,Merchant_Day_Analysis!$A$5:$G$447,7,FALSE),"Not found")</f>
        <v/>
      </c>
    </row>
    <row r="25">
      <c r="A25" t="inlineStr">
        <is>
          <t>TXN100023</t>
        </is>
      </c>
      <c r="B25" t="n">
        <v>338</v>
      </c>
      <c r="C25" t="n">
        <v>6</v>
      </c>
      <c r="D25" s="6" t="n">
        <v>46048.96527777778</v>
      </c>
      <c r="E25" t="n">
        <v>799</v>
      </c>
      <c r="F25" t="inlineStr">
        <is>
          <t>UPI</t>
        </is>
      </c>
      <c r="G25" t="inlineStr">
        <is>
          <t>chargeback</t>
        </is>
      </c>
      <c r="H25" t="n">
        <v>36</v>
      </c>
      <c r="I25">
        <f>IFERROR(VLOOKUP(C25,Merchants!$A$2:$D$41,2,FALSE),"Merchant not found")</f>
        <v/>
      </c>
      <c r="J25">
        <f>IFERROR(VLOOKUP(C25,Merchants!$A$2:$D$41,3,FALSE),"Merchant not found")</f>
        <v/>
      </c>
      <c r="K25">
        <f>IFERROR(VLOOKUP(C25,Merchants!$A$2:$D$41,4,FALSE),"Merchant not found")</f>
        <v/>
      </c>
      <c r="L25" s="4">
        <f>HLOOKUP(F25,Fee_Tiers!$B$2:$E$3,2,FALSE)</f>
        <v/>
      </c>
      <c r="M25">
        <f>E25*L25</f>
        <v/>
      </c>
      <c r="N25" s="5" t="n">
        <v>46048</v>
      </c>
      <c r="O25">
        <f>C25&amp;"_"&amp;TEXT(N25,"yyyy-mm-dd")</f>
        <v/>
      </c>
      <c r="P25">
        <f>IFERROR(VLOOKUP(O25,Merchant_Day_Analysis!$A$5:$G$447,7,FALSE),"Not found")</f>
        <v/>
      </c>
    </row>
    <row r="26">
      <c r="A26" t="inlineStr">
        <is>
          <t>TXN100024</t>
        </is>
      </c>
      <c r="B26" t="n">
        <v>318</v>
      </c>
      <c r="C26" t="n">
        <v>22</v>
      </c>
      <c r="D26" s="6" t="n">
        <v>46039.90277777778</v>
      </c>
      <c r="E26" t="n">
        <v>799</v>
      </c>
      <c r="F26" t="inlineStr">
        <is>
          <t>Wallet</t>
        </is>
      </c>
      <c r="G26" t="inlineStr">
        <is>
          <t>captured</t>
        </is>
      </c>
      <c r="H26" t="n">
        <v>11</v>
      </c>
      <c r="I26">
        <f>IFERROR(VLOOKUP(C26,Merchants!$A$2:$D$41,2,FALSE),"Merchant not found")</f>
        <v/>
      </c>
      <c r="J26">
        <f>IFERROR(VLOOKUP(C26,Merchants!$A$2:$D$41,3,FALSE),"Merchant not found")</f>
        <v/>
      </c>
      <c r="K26">
        <f>IFERROR(VLOOKUP(C26,Merchants!$A$2:$D$41,4,FALSE),"Merchant not found")</f>
        <v/>
      </c>
      <c r="L26" s="4">
        <f>HLOOKUP(F26,Fee_Tiers!$B$2:$E$3,2,FALSE)</f>
        <v/>
      </c>
      <c r="M26">
        <f>E26*L26</f>
        <v/>
      </c>
      <c r="N26" s="5" t="n">
        <v>46039</v>
      </c>
      <c r="O26">
        <f>C26&amp;"_"&amp;TEXT(N26,"yyyy-mm-dd")</f>
        <v/>
      </c>
      <c r="P26">
        <f>IFERROR(VLOOKUP(O26,Merchant_Day_Analysis!$A$5:$G$447,7,FALSE),"Not found")</f>
        <v/>
      </c>
    </row>
    <row r="27">
      <c r="A27" t="inlineStr">
        <is>
          <t>TXN100025</t>
        </is>
      </c>
      <c r="B27" t="n">
        <v>159</v>
      </c>
      <c r="C27" t="n">
        <v>15</v>
      </c>
      <c r="D27" s="6" t="n">
        <v>46049.32152777778</v>
      </c>
      <c r="E27" t="n">
        <v>799</v>
      </c>
      <c r="F27" t="inlineStr">
        <is>
          <t>UPI</t>
        </is>
      </c>
      <c r="G27" t="inlineStr">
        <is>
          <t>captured</t>
        </is>
      </c>
      <c r="H27" t="n">
        <v>25</v>
      </c>
      <c r="I27">
        <f>IFERROR(VLOOKUP(C27,Merchants!$A$2:$D$41,2,FALSE),"Merchant not found")</f>
        <v/>
      </c>
      <c r="J27">
        <f>IFERROR(VLOOKUP(C27,Merchants!$A$2:$D$41,3,FALSE),"Merchant not found")</f>
        <v/>
      </c>
      <c r="K27">
        <f>IFERROR(VLOOKUP(C27,Merchants!$A$2:$D$41,4,FALSE),"Merchant not found")</f>
        <v/>
      </c>
      <c r="L27" s="4">
        <f>HLOOKUP(F27,Fee_Tiers!$B$2:$E$3,2,FALSE)</f>
        <v/>
      </c>
      <c r="M27">
        <f>E27*L27</f>
        <v/>
      </c>
      <c r="N27" s="5" t="n">
        <v>46049</v>
      </c>
      <c r="O27">
        <f>C27&amp;"_"&amp;TEXT(N27,"yyyy-mm-dd")</f>
        <v/>
      </c>
      <c r="P27">
        <f>IFERROR(VLOOKUP(O27,Merchant_Day_Analysis!$A$5:$G$447,7,FALSE),"Not found")</f>
        <v/>
      </c>
    </row>
    <row r="28">
      <c r="A28" t="inlineStr">
        <is>
          <t>TXN100026</t>
        </is>
      </c>
      <c r="B28" t="n">
        <v>126</v>
      </c>
      <c r="C28" t="n">
        <v>31</v>
      </c>
      <c r="D28" s="6" t="n">
        <v>46027.00138888889</v>
      </c>
      <c r="E28" t="n">
        <v>49</v>
      </c>
      <c r="F28" t="inlineStr">
        <is>
          <t>Card</t>
        </is>
      </c>
      <c r="G28" t="inlineStr">
        <is>
          <t>captured</t>
        </is>
      </c>
      <c r="H28" t="n">
        <v>78</v>
      </c>
      <c r="I28">
        <f>IFERROR(VLOOKUP(C28,Merchants!$A$2:$D$41,2,FALSE),"Merchant not found")</f>
        <v/>
      </c>
      <c r="J28">
        <f>IFERROR(VLOOKUP(C28,Merchants!$A$2:$D$41,3,FALSE),"Merchant not found")</f>
        <v/>
      </c>
      <c r="K28">
        <f>IFERROR(VLOOKUP(C28,Merchants!$A$2:$D$41,4,FALSE),"Merchant not found")</f>
        <v/>
      </c>
      <c r="L28" s="4">
        <f>HLOOKUP(F28,Fee_Tiers!$B$2:$E$3,2,FALSE)</f>
        <v/>
      </c>
      <c r="M28">
        <f>E28*L28</f>
        <v/>
      </c>
      <c r="N28" s="5" t="n">
        <v>46027</v>
      </c>
      <c r="O28">
        <f>C28&amp;"_"&amp;TEXT(N28,"yyyy-mm-dd")</f>
        <v/>
      </c>
      <c r="P28">
        <f>IFERROR(VLOOKUP(O28,Merchant_Day_Analysis!$A$5:$G$447,7,FALSE),"Not found")</f>
        <v/>
      </c>
    </row>
    <row r="29">
      <c r="A29" t="inlineStr">
        <is>
          <t>TXN100027</t>
        </is>
      </c>
      <c r="B29" t="n">
        <v>213</v>
      </c>
      <c r="C29" t="n">
        <v>37</v>
      </c>
      <c r="D29" s="6" t="n">
        <v>46050.10347222222</v>
      </c>
      <c r="E29" t="n">
        <v>99</v>
      </c>
      <c r="F29" t="inlineStr">
        <is>
          <t>UPI</t>
        </is>
      </c>
      <c r="G29" t="inlineStr">
        <is>
          <t>captured</t>
        </is>
      </c>
      <c r="H29" t="n">
        <v>24</v>
      </c>
      <c r="I29">
        <f>IFERROR(VLOOKUP(C29,Merchants!$A$2:$D$41,2,FALSE),"Merchant not found")</f>
        <v/>
      </c>
      <c r="J29">
        <f>IFERROR(VLOOKUP(C29,Merchants!$A$2:$D$41,3,FALSE),"Merchant not found")</f>
        <v/>
      </c>
      <c r="K29">
        <f>IFERROR(VLOOKUP(C29,Merchants!$A$2:$D$41,4,FALSE),"Merchant not found")</f>
        <v/>
      </c>
      <c r="L29" s="4">
        <f>HLOOKUP(F29,Fee_Tiers!$B$2:$E$3,2,FALSE)</f>
        <v/>
      </c>
      <c r="M29">
        <f>E29*L29</f>
        <v/>
      </c>
      <c r="N29" s="5" t="n">
        <v>46050</v>
      </c>
      <c r="O29">
        <f>C29&amp;"_"&amp;TEXT(N29,"yyyy-mm-dd")</f>
        <v/>
      </c>
      <c r="P29">
        <f>IFERROR(VLOOKUP(O29,Merchant_Day_Analysis!$A$5:$G$447,7,FALSE),"Not found")</f>
        <v/>
      </c>
    </row>
    <row r="30">
      <c r="A30" t="inlineStr">
        <is>
          <t>TXN100028</t>
        </is>
      </c>
      <c r="B30" t="n">
        <v>254</v>
      </c>
      <c r="C30" t="n">
        <v>26</v>
      </c>
      <c r="D30" s="6" t="n">
        <v>46045.93333333333</v>
      </c>
      <c r="E30" t="n">
        <v>99</v>
      </c>
      <c r="F30" t="inlineStr">
        <is>
          <t>Wallet</t>
        </is>
      </c>
      <c r="G30" t="inlineStr">
        <is>
          <t>captured</t>
        </is>
      </c>
      <c r="H30" t="n">
        <v>31</v>
      </c>
      <c r="I30">
        <f>IFERROR(VLOOKUP(C30,Merchants!$A$2:$D$41,2,FALSE),"Merchant not found")</f>
        <v/>
      </c>
      <c r="J30">
        <f>IFERROR(VLOOKUP(C30,Merchants!$A$2:$D$41,3,FALSE),"Merchant not found")</f>
        <v/>
      </c>
      <c r="K30">
        <f>IFERROR(VLOOKUP(C30,Merchants!$A$2:$D$41,4,FALSE),"Merchant not found")</f>
        <v/>
      </c>
      <c r="L30" s="4">
        <f>HLOOKUP(F30,Fee_Tiers!$B$2:$E$3,2,FALSE)</f>
        <v/>
      </c>
      <c r="M30">
        <f>E30*L30</f>
        <v/>
      </c>
      <c r="N30" s="5" t="n">
        <v>46045</v>
      </c>
      <c r="O30">
        <f>C30&amp;"_"&amp;TEXT(N30,"yyyy-mm-dd")</f>
        <v/>
      </c>
      <c r="P30">
        <f>IFERROR(VLOOKUP(O30,Merchant_Day_Analysis!$A$5:$G$447,7,FALSE),"Not found")</f>
        <v/>
      </c>
    </row>
    <row r="31">
      <c r="A31" t="inlineStr">
        <is>
          <t>TXN100029</t>
        </is>
      </c>
      <c r="B31" t="n">
        <v>3</v>
      </c>
      <c r="C31" t="n">
        <v>7</v>
      </c>
      <c r="D31" s="6" t="n">
        <v>46027.86388888889</v>
      </c>
      <c r="E31" t="n">
        <v>1499</v>
      </c>
      <c r="F31" t="inlineStr">
        <is>
          <t>UPI</t>
        </is>
      </c>
      <c r="G31" t="inlineStr">
        <is>
          <t>captured</t>
        </is>
      </c>
      <c r="H31" t="n">
        <v>99</v>
      </c>
      <c r="I31">
        <f>IFERROR(VLOOKUP(C31,Merchants!$A$2:$D$41,2,FALSE),"Merchant not found")</f>
        <v/>
      </c>
      <c r="J31">
        <f>IFERROR(VLOOKUP(C31,Merchants!$A$2:$D$41,3,FALSE),"Merchant not found")</f>
        <v/>
      </c>
      <c r="K31">
        <f>IFERROR(VLOOKUP(C31,Merchants!$A$2:$D$41,4,FALSE),"Merchant not found")</f>
        <v/>
      </c>
      <c r="L31" s="4">
        <f>HLOOKUP(F31,Fee_Tiers!$B$2:$E$3,2,FALSE)</f>
        <v/>
      </c>
      <c r="M31">
        <f>E31*L31</f>
        <v/>
      </c>
      <c r="N31" s="5" t="n">
        <v>46027</v>
      </c>
      <c r="O31">
        <f>C31&amp;"_"&amp;TEXT(N31,"yyyy-mm-dd")</f>
        <v/>
      </c>
      <c r="P31">
        <f>IFERROR(VLOOKUP(O31,Merchant_Day_Analysis!$A$5:$G$447,7,FALSE),"Not found")</f>
        <v/>
      </c>
    </row>
    <row r="32">
      <c r="A32" t="inlineStr">
        <is>
          <t>TXN100030</t>
        </is>
      </c>
      <c r="B32" t="n">
        <v>266</v>
      </c>
      <c r="C32" t="n">
        <v>30</v>
      </c>
      <c r="D32" s="6" t="n">
        <v>46036.29930555556</v>
      </c>
      <c r="E32" t="n">
        <v>499</v>
      </c>
      <c r="F32" t="inlineStr">
        <is>
          <t>Card</t>
        </is>
      </c>
      <c r="G32" t="inlineStr">
        <is>
          <t>captured</t>
        </is>
      </c>
      <c r="H32" t="n">
        <v>6</v>
      </c>
      <c r="I32">
        <f>IFERROR(VLOOKUP(C32,Merchants!$A$2:$D$41,2,FALSE),"Merchant not found")</f>
        <v/>
      </c>
      <c r="J32">
        <f>IFERROR(VLOOKUP(C32,Merchants!$A$2:$D$41,3,FALSE),"Merchant not found")</f>
        <v/>
      </c>
      <c r="K32">
        <f>IFERROR(VLOOKUP(C32,Merchants!$A$2:$D$41,4,FALSE),"Merchant not found")</f>
        <v/>
      </c>
      <c r="L32" s="4">
        <f>HLOOKUP(F32,Fee_Tiers!$B$2:$E$3,2,FALSE)</f>
        <v/>
      </c>
      <c r="M32">
        <f>E32*L32</f>
        <v/>
      </c>
      <c r="N32" s="5" t="n">
        <v>46036</v>
      </c>
      <c r="O32">
        <f>C32&amp;"_"&amp;TEXT(N32,"yyyy-mm-dd")</f>
        <v/>
      </c>
      <c r="P32">
        <f>IFERROR(VLOOKUP(O32,Merchant_Day_Analysis!$A$5:$G$447,7,FALSE),"Not found")</f>
        <v/>
      </c>
    </row>
    <row r="33">
      <c r="A33" t="inlineStr">
        <is>
          <t>TXN100031</t>
        </is>
      </c>
      <c r="B33" t="n">
        <v>63</v>
      </c>
      <c r="C33" t="n">
        <v>30</v>
      </c>
      <c r="D33" s="6" t="n">
        <v>46040.33194444444</v>
      </c>
      <c r="E33" t="n">
        <v>799</v>
      </c>
      <c r="F33" t="inlineStr">
        <is>
          <t>UPI</t>
        </is>
      </c>
      <c r="G33" t="inlineStr">
        <is>
          <t>captured</t>
        </is>
      </c>
      <c r="H33" t="n">
        <v>17</v>
      </c>
      <c r="I33">
        <f>IFERROR(VLOOKUP(C33,Merchants!$A$2:$D$41,2,FALSE),"Merchant not found")</f>
        <v/>
      </c>
      <c r="J33">
        <f>IFERROR(VLOOKUP(C33,Merchants!$A$2:$D$41,3,FALSE),"Merchant not found")</f>
        <v/>
      </c>
      <c r="K33">
        <f>IFERROR(VLOOKUP(C33,Merchants!$A$2:$D$41,4,FALSE),"Merchant not found")</f>
        <v/>
      </c>
      <c r="L33" s="4">
        <f>HLOOKUP(F33,Fee_Tiers!$B$2:$E$3,2,FALSE)</f>
        <v/>
      </c>
      <c r="M33">
        <f>E33*L33</f>
        <v/>
      </c>
      <c r="N33" s="5" t="n">
        <v>46040</v>
      </c>
      <c r="O33">
        <f>C33&amp;"_"&amp;TEXT(N33,"yyyy-mm-dd")</f>
        <v/>
      </c>
      <c r="P33">
        <f>IFERROR(VLOOKUP(O33,Merchant_Day_Analysis!$A$5:$G$447,7,FALSE),"Not found")</f>
        <v/>
      </c>
    </row>
    <row r="34">
      <c r="A34" t="inlineStr">
        <is>
          <t>TXN100032</t>
        </is>
      </c>
      <c r="B34" t="n">
        <v>272</v>
      </c>
      <c r="C34" t="n">
        <v>36</v>
      </c>
      <c r="D34" s="6" t="n">
        <v>46048.6125</v>
      </c>
      <c r="E34" t="n">
        <v>149</v>
      </c>
      <c r="F34" t="inlineStr">
        <is>
          <t>UPI</t>
        </is>
      </c>
      <c r="G34" t="inlineStr">
        <is>
          <t>captured</t>
        </is>
      </c>
      <c r="H34" t="n">
        <v>76</v>
      </c>
      <c r="I34">
        <f>IFERROR(VLOOKUP(C34,Merchants!$A$2:$D$41,2,FALSE),"Merchant not found")</f>
        <v/>
      </c>
      <c r="J34">
        <f>IFERROR(VLOOKUP(C34,Merchants!$A$2:$D$41,3,FALSE),"Merchant not found")</f>
        <v/>
      </c>
      <c r="K34">
        <f>IFERROR(VLOOKUP(C34,Merchants!$A$2:$D$41,4,FALSE),"Merchant not found")</f>
        <v/>
      </c>
      <c r="L34" s="4">
        <f>HLOOKUP(F34,Fee_Tiers!$B$2:$E$3,2,FALSE)</f>
        <v/>
      </c>
      <c r="M34">
        <f>E34*L34</f>
        <v/>
      </c>
      <c r="N34" s="5" t="n">
        <v>46048</v>
      </c>
      <c r="O34">
        <f>C34&amp;"_"&amp;TEXT(N34,"yyyy-mm-dd")</f>
        <v/>
      </c>
      <c r="P34">
        <f>IFERROR(VLOOKUP(O34,Merchant_Day_Analysis!$A$5:$G$447,7,FALSE),"Not found")</f>
        <v/>
      </c>
    </row>
    <row r="35">
      <c r="A35" t="inlineStr">
        <is>
          <t>TXN100033</t>
        </is>
      </c>
      <c r="B35" t="n">
        <v>259</v>
      </c>
      <c r="C35" t="n">
        <v>28</v>
      </c>
      <c r="D35" s="6" t="n">
        <v>46033.61041666667</v>
      </c>
      <c r="E35" t="n">
        <v>49</v>
      </c>
      <c r="F35" t="inlineStr">
        <is>
          <t>Wallet</t>
        </is>
      </c>
      <c r="G35" t="inlineStr">
        <is>
          <t>captured</t>
        </is>
      </c>
      <c r="H35" t="n">
        <v>70</v>
      </c>
      <c r="I35">
        <f>IFERROR(VLOOKUP(C35,Merchants!$A$2:$D$41,2,FALSE),"Merchant not found")</f>
        <v/>
      </c>
      <c r="J35">
        <f>IFERROR(VLOOKUP(C35,Merchants!$A$2:$D$41,3,FALSE),"Merchant not found")</f>
        <v/>
      </c>
      <c r="K35">
        <f>IFERROR(VLOOKUP(C35,Merchants!$A$2:$D$41,4,FALSE),"Merchant not found")</f>
        <v/>
      </c>
      <c r="L35" s="4">
        <f>HLOOKUP(F35,Fee_Tiers!$B$2:$E$3,2,FALSE)</f>
        <v/>
      </c>
      <c r="M35">
        <f>E35*L35</f>
        <v/>
      </c>
      <c r="N35" s="5" t="n">
        <v>46033</v>
      </c>
      <c r="O35">
        <f>C35&amp;"_"&amp;TEXT(N35,"yyyy-mm-dd")</f>
        <v/>
      </c>
      <c r="P35">
        <f>IFERROR(VLOOKUP(O35,Merchant_Day_Analysis!$A$5:$G$447,7,FALSE),"Not found")</f>
        <v/>
      </c>
    </row>
    <row r="36">
      <c r="A36" t="inlineStr">
        <is>
          <t>TXN100034</t>
        </is>
      </c>
      <c r="B36" t="n">
        <v>244</v>
      </c>
      <c r="C36" t="n">
        <v>29</v>
      </c>
      <c r="D36" s="6" t="n">
        <v>46037.24097222222</v>
      </c>
      <c r="E36" t="n">
        <v>299</v>
      </c>
      <c r="F36" t="inlineStr">
        <is>
          <t>Netbanking</t>
        </is>
      </c>
      <c r="G36" t="inlineStr">
        <is>
          <t>captured</t>
        </is>
      </c>
      <c r="H36" t="n">
        <v>33</v>
      </c>
      <c r="I36">
        <f>IFERROR(VLOOKUP(C36,Merchants!$A$2:$D$41,2,FALSE),"Merchant not found")</f>
        <v/>
      </c>
      <c r="J36">
        <f>IFERROR(VLOOKUP(C36,Merchants!$A$2:$D$41,3,FALSE),"Merchant not found")</f>
        <v/>
      </c>
      <c r="K36">
        <f>IFERROR(VLOOKUP(C36,Merchants!$A$2:$D$41,4,FALSE),"Merchant not found")</f>
        <v/>
      </c>
      <c r="L36" s="4">
        <f>HLOOKUP(F36,Fee_Tiers!$B$2:$E$3,2,FALSE)</f>
        <v/>
      </c>
      <c r="M36">
        <f>E36*L36</f>
        <v/>
      </c>
      <c r="N36" s="5" t="n">
        <v>46037</v>
      </c>
      <c r="O36">
        <f>C36&amp;"_"&amp;TEXT(N36,"yyyy-mm-dd")</f>
        <v/>
      </c>
      <c r="P36">
        <f>IFERROR(VLOOKUP(O36,Merchant_Day_Analysis!$A$5:$G$447,7,FALSE),"Not found")</f>
        <v/>
      </c>
    </row>
    <row r="37">
      <c r="A37" t="inlineStr">
        <is>
          <t>TXN100035</t>
        </is>
      </c>
      <c r="B37" t="n">
        <v>327</v>
      </c>
      <c r="C37" t="n">
        <v>18</v>
      </c>
      <c r="D37" s="6" t="n">
        <v>46047.32847222222</v>
      </c>
      <c r="E37" t="n">
        <v>149</v>
      </c>
      <c r="F37" t="inlineStr">
        <is>
          <t>Card</t>
        </is>
      </c>
      <c r="G37" t="inlineStr">
        <is>
          <t>captured</t>
        </is>
      </c>
      <c r="H37" t="n">
        <v>98</v>
      </c>
      <c r="I37">
        <f>IFERROR(VLOOKUP(C37,Merchants!$A$2:$D$41,2,FALSE),"Merchant not found")</f>
        <v/>
      </c>
      <c r="J37">
        <f>IFERROR(VLOOKUP(C37,Merchants!$A$2:$D$41,3,FALSE),"Merchant not found")</f>
        <v/>
      </c>
      <c r="K37">
        <f>IFERROR(VLOOKUP(C37,Merchants!$A$2:$D$41,4,FALSE),"Merchant not found")</f>
        <v/>
      </c>
      <c r="L37" s="4">
        <f>HLOOKUP(F37,Fee_Tiers!$B$2:$E$3,2,FALSE)</f>
        <v/>
      </c>
      <c r="M37">
        <f>E37*L37</f>
        <v/>
      </c>
      <c r="N37" s="5" t="n">
        <v>46047</v>
      </c>
      <c r="O37">
        <f>C37&amp;"_"&amp;TEXT(N37,"yyyy-mm-dd")</f>
        <v/>
      </c>
      <c r="P37">
        <f>IFERROR(VLOOKUP(O37,Merchant_Day_Analysis!$A$5:$G$447,7,FALSE),"Not found")</f>
        <v/>
      </c>
    </row>
    <row r="38">
      <c r="A38" t="inlineStr">
        <is>
          <t>TXN100036</t>
        </is>
      </c>
      <c r="B38" t="n">
        <v>321</v>
      </c>
      <c r="C38" t="n">
        <v>16</v>
      </c>
      <c r="D38" s="6" t="n">
        <v>46047.68819444445</v>
      </c>
      <c r="E38" t="n">
        <v>49</v>
      </c>
      <c r="F38" t="inlineStr">
        <is>
          <t>UPI</t>
        </is>
      </c>
      <c r="G38" t="inlineStr">
        <is>
          <t>captured</t>
        </is>
      </c>
      <c r="H38" t="n">
        <v>35</v>
      </c>
      <c r="I38">
        <f>IFERROR(VLOOKUP(C38,Merchants!$A$2:$D$41,2,FALSE),"Merchant not found")</f>
        <v/>
      </c>
      <c r="J38">
        <f>IFERROR(VLOOKUP(C38,Merchants!$A$2:$D$41,3,FALSE),"Merchant not found")</f>
        <v/>
      </c>
      <c r="K38">
        <f>IFERROR(VLOOKUP(C38,Merchants!$A$2:$D$41,4,FALSE),"Merchant not found")</f>
        <v/>
      </c>
      <c r="L38" s="4">
        <f>HLOOKUP(F38,Fee_Tiers!$B$2:$E$3,2,FALSE)</f>
        <v/>
      </c>
      <c r="M38">
        <f>E38*L38</f>
        <v/>
      </c>
      <c r="N38" s="5" t="n">
        <v>46047</v>
      </c>
      <c r="O38">
        <f>C38&amp;"_"&amp;TEXT(N38,"yyyy-mm-dd")</f>
        <v/>
      </c>
      <c r="P38">
        <f>IFERROR(VLOOKUP(O38,Merchant_Day_Analysis!$A$5:$G$447,7,FALSE),"Not found")</f>
        <v/>
      </c>
    </row>
    <row r="39">
      <c r="A39" t="inlineStr">
        <is>
          <t>TXN100037</t>
        </is>
      </c>
      <c r="B39" t="n">
        <v>147</v>
      </c>
      <c r="C39" t="n">
        <v>16</v>
      </c>
      <c r="D39" s="6" t="n">
        <v>46037.11458333334</v>
      </c>
      <c r="E39" t="n">
        <v>2999</v>
      </c>
      <c r="F39" t="inlineStr">
        <is>
          <t>Card</t>
        </is>
      </c>
      <c r="G39" t="inlineStr">
        <is>
          <t>captured</t>
        </is>
      </c>
      <c r="H39" t="n">
        <v>34</v>
      </c>
      <c r="I39">
        <f>IFERROR(VLOOKUP(C39,Merchants!$A$2:$D$41,2,FALSE),"Merchant not found")</f>
        <v/>
      </c>
      <c r="J39">
        <f>IFERROR(VLOOKUP(C39,Merchants!$A$2:$D$41,3,FALSE),"Merchant not found")</f>
        <v/>
      </c>
      <c r="K39">
        <f>IFERROR(VLOOKUP(C39,Merchants!$A$2:$D$41,4,FALSE),"Merchant not found")</f>
        <v/>
      </c>
      <c r="L39" s="4">
        <f>HLOOKUP(F39,Fee_Tiers!$B$2:$E$3,2,FALSE)</f>
        <v/>
      </c>
      <c r="M39">
        <f>E39*L39</f>
        <v/>
      </c>
      <c r="N39" s="5" t="n">
        <v>46037</v>
      </c>
      <c r="O39">
        <f>C39&amp;"_"&amp;TEXT(N39,"yyyy-mm-dd")</f>
        <v/>
      </c>
      <c r="P39">
        <f>IFERROR(VLOOKUP(O39,Merchant_Day_Analysis!$A$5:$G$447,7,FALSE),"Not found")</f>
        <v/>
      </c>
    </row>
    <row r="40">
      <c r="A40" t="inlineStr">
        <is>
          <t>TXN100038</t>
        </is>
      </c>
      <c r="B40" t="n">
        <v>277</v>
      </c>
      <c r="C40" t="n">
        <v>6</v>
      </c>
      <c r="D40" s="6" t="n">
        <v>46033.45625</v>
      </c>
      <c r="E40" t="n">
        <v>1499</v>
      </c>
      <c r="F40" t="inlineStr">
        <is>
          <t>Card</t>
        </is>
      </c>
      <c r="G40" t="inlineStr">
        <is>
          <t>captured</t>
        </is>
      </c>
      <c r="H40" t="n">
        <v>17</v>
      </c>
      <c r="I40">
        <f>IFERROR(VLOOKUP(C40,Merchants!$A$2:$D$41,2,FALSE),"Merchant not found")</f>
        <v/>
      </c>
      <c r="J40">
        <f>IFERROR(VLOOKUP(C40,Merchants!$A$2:$D$41,3,FALSE),"Merchant not found")</f>
        <v/>
      </c>
      <c r="K40">
        <f>IFERROR(VLOOKUP(C40,Merchants!$A$2:$D$41,4,FALSE),"Merchant not found")</f>
        <v/>
      </c>
      <c r="L40" s="4">
        <f>HLOOKUP(F40,Fee_Tiers!$B$2:$E$3,2,FALSE)</f>
        <v/>
      </c>
      <c r="M40">
        <f>E40*L40</f>
        <v/>
      </c>
      <c r="N40" s="5" t="n">
        <v>46033</v>
      </c>
      <c r="O40">
        <f>C40&amp;"_"&amp;TEXT(N40,"yyyy-mm-dd")</f>
        <v/>
      </c>
      <c r="P40">
        <f>IFERROR(VLOOKUP(O40,Merchant_Day_Analysis!$A$5:$G$447,7,FALSE),"Not found")</f>
        <v/>
      </c>
    </row>
    <row r="41">
      <c r="A41" t="inlineStr">
        <is>
          <t>TXN100039</t>
        </is>
      </c>
      <c r="B41" t="n">
        <v>79</v>
      </c>
      <c r="C41" t="n">
        <v>14</v>
      </c>
      <c r="D41" s="6" t="n">
        <v>46027.30833333333</v>
      </c>
      <c r="E41" t="n">
        <v>1499</v>
      </c>
      <c r="F41" t="inlineStr">
        <is>
          <t>UPI</t>
        </is>
      </c>
      <c r="G41" t="inlineStr">
        <is>
          <t>captured</t>
        </is>
      </c>
      <c r="H41" t="n">
        <v>8</v>
      </c>
      <c r="I41">
        <f>IFERROR(VLOOKUP(C41,Merchants!$A$2:$D$41,2,FALSE),"Merchant not found")</f>
        <v/>
      </c>
      <c r="J41">
        <f>IFERROR(VLOOKUP(C41,Merchants!$A$2:$D$41,3,FALSE),"Merchant not found")</f>
        <v/>
      </c>
      <c r="K41">
        <f>IFERROR(VLOOKUP(C41,Merchants!$A$2:$D$41,4,FALSE),"Merchant not found")</f>
        <v/>
      </c>
      <c r="L41" s="4">
        <f>HLOOKUP(F41,Fee_Tiers!$B$2:$E$3,2,FALSE)</f>
        <v/>
      </c>
      <c r="M41">
        <f>E41*L41</f>
        <v/>
      </c>
      <c r="N41" s="5" t="n">
        <v>46027</v>
      </c>
      <c r="O41">
        <f>C41&amp;"_"&amp;TEXT(N41,"yyyy-mm-dd")</f>
        <v/>
      </c>
      <c r="P41">
        <f>IFERROR(VLOOKUP(O41,Merchant_Day_Analysis!$A$5:$G$447,7,FALSE),"Not found")</f>
        <v/>
      </c>
    </row>
    <row r="42">
      <c r="A42" t="inlineStr">
        <is>
          <t>TXN100040</t>
        </is>
      </c>
      <c r="B42" t="n">
        <v>278</v>
      </c>
      <c r="C42" t="n">
        <v>30</v>
      </c>
      <c r="D42" s="6" t="n">
        <v>46036.55625</v>
      </c>
      <c r="E42" t="n">
        <v>1499</v>
      </c>
      <c r="F42" t="inlineStr">
        <is>
          <t>UPI</t>
        </is>
      </c>
      <c r="G42" t="inlineStr">
        <is>
          <t>captured</t>
        </is>
      </c>
      <c r="H42" t="n">
        <v>53</v>
      </c>
      <c r="I42">
        <f>IFERROR(VLOOKUP(C42,Merchants!$A$2:$D$41,2,FALSE),"Merchant not found")</f>
        <v/>
      </c>
      <c r="J42">
        <f>IFERROR(VLOOKUP(C42,Merchants!$A$2:$D$41,3,FALSE),"Merchant not found")</f>
        <v/>
      </c>
      <c r="K42">
        <f>IFERROR(VLOOKUP(C42,Merchants!$A$2:$D$41,4,FALSE),"Merchant not found")</f>
        <v/>
      </c>
      <c r="L42" s="4">
        <f>HLOOKUP(F42,Fee_Tiers!$B$2:$E$3,2,FALSE)</f>
        <v/>
      </c>
      <c r="M42">
        <f>E42*L42</f>
        <v/>
      </c>
      <c r="N42" s="5" t="n">
        <v>46036</v>
      </c>
      <c r="O42">
        <f>C42&amp;"_"&amp;TEXT(N42,"yyyy-mm-dd")</f>
        <v/>
      </c>
      <c r="P42">
        <f>IFERROR(VLOOKUP(O42,Merchant_Day_Analysis!$A$5:$G$447,7,FALSE),"Not found")</f>
        <v/>
      </c>
    </row>
    <row r="43">
      <c r="A43" t="inlineStr">
        <is>
          <t>TXN100041</t>
        </is>
      </c>
      <c r="B43" t="n">
        <v>216</v>
      </c>
      <c r="C43" t="n">
        <v>25</v>
      </c>
      <c r="D43" s="6" t="n">
        <v>46024.28680555556</v>
      </c>
      <c r="E43" t="n">
        <v>99</v>
      </c>
      <c r="F43" t="inlineStr">
        <is>
          <t>UPI</t>
        </is>
      </c>
      <c r="G43" t="inlineStr">
        <is>
          <t>captured</t>
        </is>
      </c>
      <c r="H43" t="n">
        <v>98</v>
      </c>
      <c r="I43">
        <f>IFERROR(VLOOKUP(C43,Merchants!$A$2:$D$41,2,FALSE),"Merchant not found")</f>
        <v/>
      </c>
      <c r="J43">
        <f>IFERROR(VLOOKUP(C43,Merchants!$A$2:$D$41,3,FALSE),"Merchant not found")</f>
        <v/>
      </c>
      <c r="K43">
        <f>IFERROR(VLOOKUP(C43,Merchants!$A$2:$D$41,4,FALSE),"Merchant not found")</f>
        <v/>
      </c>
      <c r="L43" s="4">
        <f>HLOOKUP(F43,Fee_Tiers!$B$2:$E$3,2,FALSE)</f>
        <v/>
      </c>
      <c r="M43">
        <f>E43*L43</f>
        <v/>
      </c>
      <c r="N43" s="5" t="n">
        <v>46024</v>
      </c>
      <c r="O43">
        <f>C43&amp;"_"&amp;TEXT(N43,"yyyy-mm-dd")</f>
        <v/>
      </c>
      <c r="P43">
        <f>IFERROR(VLOOKUP(O43,Merchant_Day_Analysis!$A$5:$G$447,7,FALSE),"Not found")</f>
        <v/>
      </c>
    </row>
    <row r="44">
      <c r="A44" t="inlineStr">
        <is>
          <t>TXN100042</t>
        </is>
      </c>
      <c r="B44" t="n">
        <v>295</v>
      </c>
      <c r="C44" t="n">
        <v>25</v>
      </c>
      <c r="D44" s="6" t="n">
        <v>46041.91736111111</v>
      </c>
      <c r="E44" t="n">
        <v>1499</v>
      </c>
      <c r="F44" t="inlineStr">
        <is>
          <t>UPI</t>
        </is>
      </c>
      <c r="G44" t="inlineStr">
        <is>
          <t>captured</t>
        </is>
      </c>
      <c r="H44" t="n">
        <v>61</v>
      </c>
      <c r="I44">
        <f>IFERROR(VLOOKUP(C44,Merchants!$A$2:$D$41,2,FALSE),"Merchant not found")</f>
        <v/>
      </c>
      <c r="J44">
        <f>IFERROR(VLOOKUP(C44,Merchants!$A$2:$D$41,3,FALSE),"Merchant not found")</f>
        <v/>
      </c>
      <c r="K44">
        <f>IFERROR(VLOOKUP(C44,Merchants!$A$2:$D$41,4,FALSE),"Merchant not found")</f>
        <v/>
      </c>
      <c r="L44" s="4">
        <f>HLOOKUP(F44,Fee_Tiers!$B$2:$E$3,2,FALSE)</f>
        <v/>
      </c>
      <c r="M44">
        <f>E44*L44</f>
        <v/>
      </c>
      <c r="N44" s="5" t="n">
        <v>46041</v>
      </c>
      <c r="O44">
        <f>C44&amp;"_"&amp;TEXT(N44,"yyyy-mm-dd")</f>
        <v/>
      </c>
      <c r="P44">
        <f>IFERROR(VLOOKUP(O44,Merchant_Day_Analysis!$A$5:$G$447,7,FALSE),"Not found")</f>
        <v/>
      </c>
    </row>
    <row r="45">
      <c r="A45" t="inlineStr">
        <is>
          <t>TXN100043</t>
        </is>
      </c>
      <c r="B45" t="n">
        <v>200</v>
      </c>
      <c r="C45" t="n">
        <v>27</v>
      </c>
      <c r="D45" s="6" t="n">
        <v>46023.47152777778</v>
      </c>
      <c r="E45" t="n">
        <v>149</v>
      </c>
      <c r="F45" t="inlineStr">
        <is>
          <t>UPI</t>
        </is>
      </c>
      <c r="G45" t="inlineStr">
        <is>
          <t>captured</t>
        </is>
      </c>
      <c r="H45" t="n">
        <v>68</v>
      </c>
      <c r="I45">
        <f>IFERROR(VLOOKUP(C45,Merchants!$A$2:$D$41,2,FALSE),"Merchant not found")</f>
        <v/>
      </c>
      <c r="J45">
        <f>IFERROR(VLOOKUP(C45,Merchants!$A$2:$D$41,3,FALSE),"Merchant not found")</f>
        <v/>
      </c>
      <c r="K45">
        <f>IFERROR(VLOOKUP(C45,Merchants!$A$2:$D$41,4,FALSE),"Merchant not found")</f>
        <v/>
      </c>
      <c r="L45" s="4">
        <f>HLOOKUP(F45,Fee_Tiers!$B$2:$E$3,2,FALSE)</f>
        <v/>
      </c>
      <c r="M45">
        <f>E45*L45</f>
        <v/>
      </c>
      <c r="N45" s="5" t="n">
        <v>46023</v>
      </c>
      <c r="O45">
        <f>C45&amp;"_"&amp;TEXT(N45,"yyyy-mm-dd")</f>
        <v/>
      </c>
      <c r="P45">
        <f>IFERROR(VLOOKUP(O45,Merchant_Day_Analysis!$A$5:$G$447,7,FALSE),"Not found")</f>
        <v/>
      </c>
    </row>
    <row r="46">
      <c r="A46" t="inlineStr">
        <is>
          <t>TXN100044</t>
        </is>
      </c>
      <c r="B46" t="n">
        <v>309</v>
      </c>
      <c r="C46" t="n">
        <v>15</v>
      </c>
      <c r="D46" s="6" t="n">
        <v>46046.98194444444</v>
      </c>
      <c r="E46" t="n">
        <v>99</v>
      </c>
      <c r="F46" t="inlineStr">
        <is>
          <t>Netbanking</t>
        </is>
      </c>
      <c r="G46" t="inlineStr">
        <is>
          <t>captured</t>
        </is>
      </c>
      <c r="H46" t="n">
        <v>62</v>
      </c>
      <c r="I46">
        <f>IFERROR(VLOOKUP(C46,Merchants!$A$2:$D$41,2,FALSE),"Merchant not found")</f>
        <v/>
      </c>
      <c r="J46">
        <f>IFERROR(VLOOKUP(C46,Merchants!$A$2:$D$41,3,FALSE),"Merchant not found")</f>
        <v/>
      </c>
      <c r="K46">
        <f>IFERROR(VLOOKUP(C46,Merchants!$A$2:$D$41,4,FALSE),"Merchant not found")</f>
        <v/>
      </c>
      <c r="L46" s="4">
        <f>HLOOKUP(F46,Fee_Tiers!$B$2:$E$3,2,FALSE)</f>
        <v/>
      </c>
      <c r="M46">
        <f>E46*L46</f>
        <v/>
      </c>
      <c r="N46" s="5" t="n">
        <v>46046</v>
      </c>
      <c r="O46">
        <f>C46&amp;"_"&amp;TEXT(N46,"yyyy-mm-dd")</f>
        <v/>
      </c>
      <c r="P46">
        <f>IFERROR(VLOOKUP(O46,Merchant_Day_Analysis!$A$5:$G$447,7,FALSE),"Not found")</f>
        <v/>
      </c>
    </row>
    <row r="47">
      <c r="A47" t="inlineStr">
        <is>
          <t>TXN100045</t>
        </is>
      </c>
      <c r="B47" t="n">
        <v>249</v>
      </c>
      <c r="C47" t="n">
        <v>2</v>
      </c>
      <c r="D47" s="6" t="n">
        <v>46030.35208333333</v>
      </c>
      <c r="E47" t="n">
        <v>299</v>
      </c>
      <c r="F47" t="inlineStr">
        <is>
          <t>Wallet</t>
        </is>
      </c>
      <c r="G47" t="inlineStr">
        <is>
          <t>captured</t>
        </is>
      </c>
      <c r="H47" t="n">
        <v>49</v>
      </c>
      <c r="I47">
        <f>IFERROR(VLOOKUP(C47,Merchants!$A$2:$D$41,2,FALSE),"Merchant not found")</f>
        <v/>
      </c>
      <c r="J47">
        <f>IFERROR(VLOOKUP(C47,Merchants!$A$2:$D$41,3,FALSE),"Merchant not found")</f>
        <v/>
      </c>
      <c r="K47">
        <f>IFERROR(VLOOKUP(C47,Merchants!$A$2:$D$41,4,FALSE),"Merchant not found")</f>
        <v/>
      </c>
      <c r="L47" s="4">
        <f>HLOOKUP(F47,Fee_Tiers!$B$2:$E$3,2,FALSE)</f>
        <v/>
      </c>
      <c r="M47">
        <f>E47*L47</f>
        <v/>
      </c>
      <c r="N47" s="5" t="n">
        <v>46030</v>
      </c>
      <c r="O47">
        <f>C47&amp;"_"&amp;TEXT(N47,"yyyy-mm-dd")</f>
        <v/>
      </c>
      <c r="P47">
        <f>IFERROR(VLOOKUP(O47,Merchant_Day_Analysis!$A$5:$G$447,7,FALSE),"Not found")</f>
        <v/>
      </c>
    </row>
    <row r="48">
      <c r="A48" t="inlineStr">
        <is>
          <t>TXN100046</t>
        </is>
      </c>
      <c r="B48" t="n">
        <v>208</v>
      </c>
      <c r="C48" t="n">
        <v>11</v>
      </c>
      <c r="D48" s="6" t="n">
        <v>46033.90486111111</v>
      </c>
      <c r="E48" t="n">
        <v>4999</v>
      </c>
      <c r="F48" t="inlineStr">
        <is>
          <t>Netbanking</t>
        </is>
      </c>
      <c r="G48" t="inlineStr">
        <is>
          <t>captured</t>
        </is>
      </c>
      <c r="H48" t="n">
        <v>59</v>
      </c>
      <c r="I48">
        <f>IFERROR(VLOOKUP(C48,Merchants!$A$2:$D$41,2,FALSE),"Merchant not found")</f>
        <v/>
      </c>
      <c r="J48">
        <f>IFERROR(VLOOKUP(C48,Merchants!$A$2:$D$41,3,FALSE),"Merchant not found")</f>
        <v/>
      </c>
      <c r="K48">
        <f>IFERROR(VLOOKUP(C48,Merchants!$A$2:$D$41,4,FALSE),"Merchant not found")</f>
        <v/>
      </c>
      <c r="L48" s="4">
        <f>HLOOKUP(F48,Fee_Tiers!$B$2:$E$3,2,FALSE)</f>
        <v/>
      </c>
      <c r="M48">
        <f>E48*L48</f>
        <v/>
      </c>
      <c r="N48" s="5" t="n">
        <v>46033</v>
      </c>
      <c r="O48">
        <f>C48&amp;"_"&amp;TEXT(N48,"yyyy-mm-dd")</f>
        <v/>
      </c>
      <c r="P48">
        <f>IFERROR(VLOOKUP(O48,Merchant_Day_Analysis!$A$5:$G$447,7,FALSE),"Not found")</f>
        <v/>
      </c>
    </row>
    <row r="49">
      <c r="A49" t="inlineStr">
        <is>
          <t>TXN100047</t>
        </is>
      </c>
      <c r="B49" t="n">
        <v>274</v>
      </c>
      <c r="C49" t="n">
        <v>2</v>
      </c>
      <c r="D49" s="6" t="n">
        <v>46052.19375</v>
      </c>
      <c r="E49" t="n">
        <v>299</v>
      </c>
      <c r="F49" t="inlineStr">
        <is>
          <t>UPI</t>
        </is>
      </c>
      <c r="G49" t="inlineStr">
        <is>
          <t>captured</t>
        </is>
      </c>
      <c r="H49" t="n">
        <v>50</v>
      </c>
      <c r="I49">
        <f>IFERROR(VLOOKUP(C49,Merchants!$A$2:$D$41,2,FALSE),"Merchant not found")</f>
        <v/>
      </c>
      <c r="J49">
        <f>IFERROR(VLOOKUP(C49,Merchants!$A$2:$D$41,3,FALSE),"Merchant not found")</f>
        <v/>
      </c>
      <c r="K49">
        <f>IFERROR(VLOOKUP(C49,Merchants!$A$2:$D$41,4,FALSE),"Merchant not found")</f>
        <v/>
      </c>
      <c r="L49" s="4">
        <f>HLOOKUP(F49,Fee_Tiers!$B$2:$E$3,2,FALSE)</f>
        <v/>
      </c>
      <c r="M49">
        <f>E49*L49</f>
        <v/>
      </c>
      <c r="N49" s="5" t="n">
        <v>46052</v>
      </c>
      <c r="O49">
        <f>C49&amp;"_"&amp;TEXT(N49,"yyyy-mm-dd")</f>
        <v/>
      </c>
      <c r="P49">
        <f>IFERROR(VLOOKUP(O49,Merchant_Day_Analysis!$A$5:$G$447,7,FALSE),"Not found")</f>
        <v/>
      </c>
    </row>
    <row r="50">
      <c r="A50" t="inlineStr">
        <is>
          <t>TXN100048</t>
        </is>
      </c>
      <c r="B50" t="n">
        <v>14</v>
      </c>
      <c r="C50" t="n">
        <v>6</v>
      </c>
      <c r="D50" s="6" t="n">
        <v>46041.77916666667</v>
      </c>
      <c r="E50" t="n">
        <v>49</v>
      </c>
      <c r="F50" t="inlineStr">
        <is>
          <t>Wallet</t>
        </is>
      </c>
      <c r="G50" t="inlineStr">
        <is>
          <t>captured</t>
        </is>
      </c>
      <c r="H50" t="n">
        <v>82</v>
      </c>
      <c r="I50">
        <f>IFERROR(VLOOKUP(C50,Merchants!$A$2:$D$41,2,FALSE),"Merchant not found")</f>
        <v/>
      </c>
      <c r="J50">
        <f>IFERROR(VLOOKUP(C50,Merchants!$A$2:$D$41,3,FALSE),"Merchant not found")</f>
        <v/>
      </c>
      <c r="K50">
        <f>IFERROR(VLOOKUP(C50,Merchants!$A$2:$D$41,4,FALSE),"Merchant not found")</f>
        <v/>
      </c>
      <c r="L50" s="4">
        <f>HLOOKUP(F50,Fee_Tiers!$B$2:$E$3,2,FALSE)</f>
        <v/>
      </c>
      <c r="M50">
        <f>E50*L50</f>
        <v/>
      </c>
      <c r="N50" s="5" t="n">
        <v>46041</v>
      </c>
      <c r="O50">
        <f>C50&amp;"_"&amp;TEXT(N50,"yyyy-mm-dd")</f>
        <v/>
      </c>
      <c r="P50">
        <f>IFERROR(VLOOKUP(O50,Merchant_Day_Analysis!$A$5:$G$447,7,FALSE),"Not found")</f>
        <v/>
      </c>
    </row>
    <row r="51">
      <c r="A51" t="inlineStr">
        <is>
          <t>TXN100049</t>
        </is>
      </c>
      <c r="B51" t="n">
        <v>237</v>
      </c>
      <c r="C51" t="n">
        <v>12</v>
      </c>
      <c r="D51" s="6" t="n">
        <v>46036.20486111111</v>
      </c>
      <c r="E51" t="n">
        <v>49</v>
      </c>
      <c r="F51" t="inlineStr">
        <is>
          <t>UPI</t>
        </is>
      </c>
      <c r="G51" t="inlineStr">
        <is>
          <t>captured</t>
        </is>
      </c>
      <c r="H51" t="n">
        <v>6</v>
      </c>
      <c r="I51">
        <f>IFERROR(VLOOKUP(C51,Merchants!$A$2:$D$41,2,FALSE),"Merchant not found")</f>
        <v/>
      </c>
      <c r="J51">
        <f>IFERROR(VLOOKUP(C51,Merchants!$A$2:$D$41,3,FALSE),"Merchant not found")</f>
        <v/>
      </c>
      <c r="K51">
        <f>IFERROR(VLOOKUP(C51,Merchants!$A$2:$D$41,4,FALSE),"Merchant not found")</f>
        <v/>
      </c>
      <c r="L51" s="4">
        <f>HLOOKUP(F51,Fee_Tiers!$B$2:$E$3,2,FALSE)</f>
        <v/>
      </c>
      <c r="M51">
        <f>E51*L51</f>
        <v/>
      </c>
      <c r="N51" s="5" t="n">
        <v>46036</v>
      </c>
      <c r="O51">
        <f>C51&amp;"_"&amp;TEXT(N51,"yyyy-mm-dd")</f>
        <v/>
      </c>
      <c r="P51">
        <f>IFERROR(VLOOKUP(O51,Merchant_Day_Analysis!$A$5:$G$447,7,FALSE),"Not found")</f>
        <v/>
      </c>
    </row>
    <row r="52">
      <c r="A52" t="inlineStr">
        <is>
          <t>TXN100050</t>
        </is>
      </c>
      <c r="B52" t="n">
        <v>109</v>
      </c>
      <c r="C52" t="n">
        <v>30</v>
      </c>
      <c r="D52" s="6" t="n">
        <v>46031.51388888889</v>
      </c>
      <c r="E52" t="n">
        <v>99</v>
      </c>
      <c r="F52" t="inlineStr">
        <is>
          <t>UPI</t>
        </is>
      </c>
      <c r="G52" t="inlineStr">
        <is>
          <t>captured</t>
        </is>
      </c>
      <c r="H52" t="n">
        <v>41</v>
      </c>
      <c r="I52">
        <f>IFERROR(VLOOKUP(C52,Merchants!$A$2:$D$41,2,FALSE),"Merchant not found")</f>
        <v/>
      </c>
      <c r="J52">
        <f>IFERROR(VLOOKUP(C52,Merchants!$A$2:$D$41,3,FALSE),"Merchant not found")</f>
        <v/>
      </c>
      <c r="K52">
        <f>IFERROR(VLOOKUP(C52,Merchants!$A$2:$D$41,4,FALSE),"Merchant not found")</f>
        <v/>
      </c>
      <c r="L52" s="4">
        <f>HLOOKUP(F52,Fee_Tiers!$B$2:$E$3,2,FALSE)</f>
        <v/>
      </c>
      <c r="M52">
        <f>E52*L52</f>
        <v/>
      </c>
      <c r="N52" s="5" t="n">
        <v>46031</v>
      </c>
      <c r="O52">
        <f>C52&amp;"_"&amp;TEXT(N52,"yyyy-mm-dd")</f>
        <v/>
      </c>
      <c r="P52">
        <f>IFERROR(VLOOKUP(O52,Merchant_Day_Analysis!$A$5:$G$447,7,FALSE),"Not found")</f>
        <v/>
      </c>
    </row>
    <row r="53">
      <c r="A53" t="inlineStr">
        <is>
          <t>TXN100051</t>
        </is>
      </c>
      <c r="B53" t="n">
        <v>216</v>
      </c>
      <c r="C53" t="n">
        <v>17</v>
      </c>
      <c r="D53" s="6" t="n">
        <v>46033.51180555556</v>
      </c>
      <c r="E53" t="n">
        <v>4999</v>
      </c>
      <c r="F53" t="inlineStr">
        <is>
          <t>UPI</t>
        </is>
      </c>
      <c r="G53" t="inlineStr">
        <is>
          <t>captured</t>
        </is>
      </c>
      <c r="H53" t="n">
        <v>10</v>
      </c>
      <c r="I53">
        <f>IFERROR(VLOOKUP(C53,Merchants!$A$2:$D$41,2,FALSE),"Merchant not found")</f>
        <v/>
      </c>
      <c r="J53">
        <f>IFERROR(VLOOKUP(C53,Merchants!$A$2:$D$41,3,FALSE),"Merchant not found")</f>
        <v/>
      </c>
      <c r="K53">
        <f>IFERROR(VLOOKUP(C53,Merchants!$A$2:$D$41,4,FALSE),"Merchant not found")</f>
        <v/>
      </c>
      <c r="L53" s="4">
        <f>HLOOKUP(F53,Fee_Tiers!$B$2:$E$3,2,FALSE)</f>
        <v/>
      </c>
      <c r="M53">
        <f>E53*L53</f>
        <v/>
      </c>
      <c r="N53" s="5" t="n">
        <v>46033</v>
      </c>
      <c r="O53">
        <f>C53&amp;"_"&amp;TEXT(N53,"yyyy-mm-dd")</f>
        <v/>
      </c>
      <c r="P53">
        <f>IFERROR(VLOOKUP(O53,Merchant_Day_Analysis!$A$5:$G$447,7,FALSE),"Not found")</f>
        <v/>
      </c>
    </row>
    <row r="54">
      <c r="A54" t="inlineStr">
        <is>
          <t>TXN100052</t>
        </is>
      </c>
      <c r="B54" t="n">
        <v>277</v>
      </c>
      <c r="C54" t="n">
        <v>4</v>
      </c>
      <c r="D54" s="6" t="n">
        <v>46038.03263888889</v>
      </c>
      <c r="E54" t="n">
        <v>799</v>
      </c>
      <c r="F54" t="inlineStr">
        <is>
          <t>UPI</t>
        </is>
      </c>
      <c r="G54" t="inlineStr">
        <is>
          <t>captured</t>
        </is>
      </c>
      <c r="H54" t="n">
        <v>44</v>
      </c>
      <c r="I54">
        <f>IFERROR(VLOOKUP(C54,Merchants!$A$2:$D$41,2,FALSE),"Merchant not found")</f>
        <v/>
      </c>
      <c r="J54">
        <f>IFERROR(VLOOKUP(C54,Merchants!$A$2:$D$41,3,FALSE),"Merchant not found")</f>
        <v/>
      </c>
      <c r="K54">
        <f>IFERROR(VLOOKUP(C54,Merchants!$A$2:$D$41,4,FALSE),"Merchant not found")</f>
        <v/>
      </c>
      <c r="L54" s="4">
        <f>HLOOKUP(F54,Fee_Tiers!$B$2:$E$3,2,FALSE)</f>
        <v/>
      </c>
      <c r="M54">
        <f>E54*L54</f>
        <v/>
      </c>
      <c r="N54" s="5" t="n">
        <v>46038</v>
      </c>
      <c r="O54">
        <f>C54&amp;"_"&amp;TEXT(N54,"yyyy-mm-dd")</f>
        <v/>
      </c>
      <c r="P54">
        <f>IFERROR(VLOOKUP(O54,Merchant_Day_Analysis!$A$5:$G$447,7,FALSE),"Not found")</f>
        <v/>
      </c>
    </row>
    <row r="55">
      <c r="A55" t="inlineStr">
        <is>
          <t>TXN100053</t>
        </is>
      </c>
      <c r="B55" t="n">
        <v>334</v>
      </c>
      <c r="C55" t="n">
        <v>3</v>
      </c>
      <c r="D55" s="6" t="n">
        <v>46030.83611111111</v>
      </c>
      <c r="E55" t="n">
        <v>149</v>
      </c>
      <c r="F55" t="inlineStr">
        <is>
          <t>Wallet</t>
        </is>
      </c>
      <c r="G55" t="inlineStr">
        <is>
          <t>captured</t>
        </is>
      </c>
      <c r="H55" t="n">
        <v>96</v>
      </c>
      <c r="I55">
        <f>IFERROR(VLOOKUP(C55,Merchants!$A$2:$D$41,2,FALSE),"Merchant not found")</f>
        <v/>
      </c>
      <c r="J55">
        <f>IFERROR(VLOOKUP(C55,Merchants!$A$2:$D$41,3,FALSE),"Merchant not found")</f>
        <v/>
      </c>
      <c r="K55">
        <f>IFERROR(VLOOKUP(C55,Merchants!$A$2:$D$41,4,FALSE),"Merchant not found")</f>
        <v/>
      </c>
      <c r="L55" s="4">
        <f>HLOOKUP(F55,Fee_Tiers!$B$2:$E$3,2,FALSE)</f>
        <v/>
      </c>
      <c r="M55">
        <f>E55*L55</f>
        <v/>
      </c>
      <c r="N55" s="5" t="n">
        <v>46030</v>
      </c>
      <c r="O55">
        <f>C55&amp;"_"&amp;TEXT(N55,"yyyy-mm-dd")</f>
        <v/>
      </c>
      <c r="P55">
        <f>IFERROR(VLOOKUP(O55,Merchant_Day_Analysis!$A$5:$G$447,7,FALSE),"Not found")</f>
        <v/>
      </c>
    </row>
    <row r="56">
      <c r="A56" t="inlineStr">
        <is>
          <t>TXN100054</t>
        </is>
      </c>
      <c r="B56" t="n">
        <v>11</v>
      </c>
      <c r="C56" t="n">
        <v>40</v>
      </c>
      <c r="D56" s="6" t="n">
        <v>46023.3</v>
      </c>
      <c r="E56" t="n">
        <v>299</v>
      </c>
      <c r="F56" t="inlineStr">
        <is>
          <t>UPI</t>
        </is>
      </c>
      <c r="G56" t="inlineStr">
        <is>
          <t>captured</t>
        </is>
      </c>
      <c r="H56" t="n">
        <v>19</v>
      </c>
      <c r="I56">
        <f>IFERROR(VLOOKUP(C56,Merchants!$A$2:$D$41,2,FALSE),"Merchant not found")</f>
        <v/>
      </c>
      <c r="J56">
        <f>IFERROR(VLOOKUP(C56,Merchants!$A$2:$D$41,3,FALSE),"Merchant not found")</f>
        <v/>
      </c>
      <c r="K56">
        <f>IFERROR(VLOOKUP(C56,Merchants!$A$2:$D$41,4,FALSE),"Merchant not found")</f>
        <v/>
      </c>
      <c r="L56" s="4">
        <f>HLOOKUP(F56,Fee_Tiers!$B$2:$E$3,2,FALSE)</f>
        <v/>
      </c>
      <c r="M56">
        <f>E56*L56</f>
        <v/>
      </c>
      <c r="N56" s="5" t="n">
        <v>46023</v>
      </c>
      <c r="O56">
        <f>C56&amp;"_"&amp;TEXT(N56,"yyyy-mm-dd")</f>
        <v/>
      </c>
      <c r="P56">
        <f>IFERROR(VLOOKUP(O56,Merchant_Day_Analysis!$A$5:$G$447,7,FALSE),"Not found")</f>
        <v/>
      </c>
    </row>
    <row r="57">
      <c r="A57" t="inlineStr">
        <is>
          <t>TXN100055</t>
        </is>
      </c>
      <c r="B57" t="n">
        <v>343</v>
      </c>
      <c r="C57" t="n">
        <v>8</v>
      </c>
      <c r="D57" s="6" t="n">
        <v>46030.1875</v>
      </c>
      <c r="E57" t="n">
        <v>99</v>
      </c>
      <c r="F57" t="inlineStr">
        <is>
          <t>UPI</t>
        </is>
      </c>
      <c r="G57" t="inlineStr">
        <is>
          <t>captured</t>
        </is>
      </c>
      <c r="H57" t="n">
        <v>72</v>
      </c>
      <c r="I57">
        <f>IFERROR(VLOOKUP(C57,Merchants!$A$2:$D$41,2,FALSE),"Merchant not found")</f>
        <v/>
      </c>
      <c r="J57">
        <f>IFERROR(VLOOKUP(C57,Merchants!$A$2:$D$41,3,FALSE),"Merchant not found")</f>
        <v/>
      </c>
      <c r="K57">
        <f>IFERROR(VLOOKUP(C57,Merchants!$A$2:$D$41,4,FALSE),"Merchant not found")</f>
        <v/>
      </c>
      <c r="L57" s="4">
        <f>HLOOKUP(F57,Fee_Tiers!$B$2:$E$3,2,FALSE)</f>
        <v/>
      </c>
      <c r="M57">
        <f>E57*L57</f>
        <v/>
      </c>
      <c r="N57" s="5" t="n">
        <v>46030</v>
      </c>
      <c r="O57">
        <f>C57&amp;"_"&amp;TEXT(N57,"yyyy-mm-dd")</f>
        <v/>
      </c>
      <c r="P57">
        <f>IFERROR(VLOOKUP(O57,Merchant_Day_Analysis!$A$5:$G$447,7,FALSE),"Not found")</f>
        <v/>
      </c>
    </row>
    <row r="58">
      <c r="A58" t="inlineStr">
        <is>
          <t>TXN100056</t>
        </is>
      </c>
      <c r="B58" t="n">
        <v>132</v>
      </c>
      <c r="C58" t="n">
        <v>24</v>
      </c>
      <c r="D58" s="6" t="n">
        <v>46029.61388888889</v>
      </c>
      <c r="E58" t="n">
        <v>299</v>
      </c>
      <c r="F58" t="inlineStr">
        <is>
          <t>Wallet</t>
        </is>
      </c>
      <c r="G58" t="inlineStr">
        <is>
          <t>captured</t>
        </is>
      </c>
      <c r="H58" t="n">
        <v>21</v>
      </c>
      <c r="I58">
        <f>IFERROR(VLOOKUP(C58,Merchants!$A$2:$D$41,2,FALSE),"Merchant not found")</f>
        <v/>
      </c>
      <c r="J58">
        <f>IFERROR(VLOOKUP(C58,Merchants!$A$2:$D$41,3,FALSE),"Merchant not found")</f>
        <v/>
      </c>
      <c r="K58">
        <f>IFERROR(VLOOKUP(C58,Merchants!$A$2:$D$41,4,FALSE),"Merchant not found")</f>
        <v/>
      </c>
      <c r="L58" s="4">
        <f>HLOOKUP(F58,Fee_Tiers!$B$2:$E$3,2,FALSE)</f>
        <v/>
      </c>
      <c r="M58">
        <f>E58*L58</f>
        <v/>
      </c>
      <c r="N58" s="5" t="n">
        <v>46029</v>
      </c>
      <c r="O58">
        <f>C58&amp;"_"&amp;TEXT(N58,"yyyy-mm-dd")</f>
        <v/>
      </c>
      <c r="P58">
        <f>IFERROR(VLOOKUP(O58,Merchant_Day_Analysis!$A$5:$G$447,7,FALSE),"Not found")</f>
        <v/>
      </c>
    </row>
    <row r="59">
      <c r="A59" t="inlineStr">
        <is>
          <t>TXN100057</t>
        </is>
      </c>
      <c r="B59" t="n">
        <v>59</v>
      </c>
      <c r="C59" t="n">
        <v>11</v>
      </c>
      <c r="D59" s="6" t="n">
        <v>46042.82430555556</v>
      </c>
      <c r="E59" t="n">
        <v>299</v>
      </c>
      <c r="F59" t="inlineStr">
        <is>
          <t>UPI</t>
        </is>
      </c>
      <c r="G59" t="inlineStr">
        <is>
          <t>captured</t>
        </is>
      </c>
      <c r="H59" t="n">
        <v>39</v>
      </c>
      <c r="I59">
        <f>IFERROR(VLOOKUP(C59,Merchants!$A$2:$D$41,2,FALSE),"Merchant not found")</f>
        <v/>
      </c>
      <c r="J59">
        <f>IFERROR(VLOOKUP(C59,Merchants!$A$2:$D$41,3,FALSE),"Merchant not found")</f>
        <v/>
      </c>
      <c r="K59">
        <f>IFERROR(VLOOKUP(C59,Merchants!$A$2:$D$41,4,FALSE),"Merchant not found")</f>
        <v/>
      </c>
      <c r="L59" s="4">
        <f>HLOOKUP(F59,Fee_Tiers!$B$2:$E$3,2,FALSE)</f>
        <v/>
      </c>
      <c r="M59">
        <f>E59*L59</f>
        <v/>
      </c>
      <c r="N59" s="5" t="n">
        <v>46042</v>
      </c>
      <c r="O59">
        <f>C59&amp;"_"&amp;TEXT(N59,"yyyy-mm-dd")</f>
        <v/>
      </c>
      <c r="P59">
        <f>IFERROR(VLOOKUP(O59,Merchant_Day_Analysis!$A$5:$G$447,7,FALSE),"Not found")</f>
        <v/>
      </c>
    </row>
    <row r="60">
      <c r="A60" t="inlineStr">
        <is>
          <t>TXN100058</t>
        </is>
      </c>
      <c r="B60" t="n">
        <v>160</v>
      </c>
      <c r="C60" t="n">
        <v>37</v>
      </c>
      <c r="D60" s="6" t="n">
        <v>46026.75069444445</v>
      </c>
      <c r="E60" t="n">
        <v>49</v>
      </c>
      <c r="F60" t="inlineStr">
        <is>
          <t>Wallet</t>
        </is>
      </c>
      <c r="G60" t="inlineStr">
        <is>
          <t>captured</t>
        </is>
      </c>
      <c r="H60" t="n">
        <v>86</v>
      </c>
      <c r="I60">
        <f>IFERROR(VLOOKUP(C60,Merchants!$A$2:$D$41,2,FALSE),"Merchant not found")</f>
        <v/>
      </c>
      <c r="J60">
        <f>IFERROR(VLOOKUP(C60,Merchants!$A$2:$D$41,3,FALSE),"Merchant not found")</f>
        <v/>
      </c>
      <c r="K60">
        <f>IFERROR(VLOOKUP(C60,Merchants!$A$2:$D$41,4,FALSE),"Merchant not found")</f>
        <v/>
      </c>
      <c r="L60" s="4">
        <f>HLOOKUP(F60,Fee_Tiers!$B$2:$E$3,2,FALSE)</f>
        <v/>
      </c>
      <c r="M60">
        <f>E60*L60</f>
        <v/>
      </c>
      <c r="N60" s="5" t="n">
        <v>46026</v>
      </c>
      <c r="O60">
        <f>C60&amp;"_"&amp;TEXT(N60,"yyyy-mm-dd")</f>
        <v/>
      </c>
      <c r="P60">
        <f>IFERROR(VLOOKUP(O60,Merchant_Day_Analysis!$A$5:$G$447,7,FALSE),"Not found")</f>
        <v/>
      </c>
    </row>
    <row r="61">
      <c r="A61" t="inlineStr">
        <is>
          <t>TXN100059</t>
        </is>
      </c>
      <c r="B61" t="n">
        <v>102</v>
      </c>
      <c r="C61" t="n">
        <v>5</v>
      </c>
      <c r="D61" s="6" t="n">
        <v>46052.51736111111</v>
      </c>
      <c r="E61" t="n">
        <v>2999</v>
      </c>
      <c r="F61" t="inlineStr">
        <is>
          <t>UPI</t>
        </is>
      </c>
      <c r="G61" t="inlineStr">
        <is>
          <t>captured</t>
        </is>
      </c>
      <c r="H61" t="n">
        <v>75</v>
      </c>
      <c r="I61">
        <f>IFERROR(VLOOKUP(C61,Merchants!$A$2:$D$41,2,FALSE),"Merchant not found")</f>
        <v/>
      </c>
      <c r="J61">
        <f>IFERROR(VLOOKUP(C61,Merchants!$A$2:$D$41,3,FALSE),"Merchant not found")</f>
        <v/>
      </c>
      <c r="K61">
        <f>IFERROR(VLOOKUP(C61,Merchants!$A$2:$D$41,4,FALSE),"Merchant not found")</f>
        <v/>
      </c>
      <c r="L61" s="4">
        <f>HLOOKUP(F61,Fee_Tiers!$B$2:$E$3,2,FALSE)</f>
        <v/>
      </c>
      <c r="M61">
        <f>E61*L61</f>
        <v/>
      </c>
      <c r="N61" s="5" t="n">
        <v>46052</v>
      </c>
      <c r="O61">
        <f>C61&amp;"_"&amp;TEXT(N61,"yyyy-mm-dd")</f>
        <v/>
      </c>
      <c r="P61">
        <f>IFERROR(VLOOKUP(O61,Merchant_Day_Analysis!$A$5:$G$447,7,FALSE),"Not found")</f>
        <v/>
      </c>
    </row>
    <row r="62">
      <c r="A62" t="inlineStr">
        <is>
          <t>TXN100060</t>
        </is>
      </c>
      <c r="B62" t="n">
        <v>53</v>
      </c>
      <c r="C62" t="n">
        <v>20</v>
      </c>
      <c r="D62" s="6" t="n">
        <v>46045.84375</v>
      </c>
      <c r="E62" t="n">
        <v>49</v>
      </c>
      <c r="F62" t="inlineStr">
        <is>
          <t>Netbanking</t>
        </is>
      </c>
      <c r="G62" t="inlineStr">
        <is>
          <t>captured</t>
        </is>
      </c>
      <c r="H62" t="n">
        <v>87</v>
      </c>
      <c r="I62">
        <f>IFERROR(VLOOKUP(C62,Merchants!$A$2:$D$41,2,FALSE),"Merchant not found")</f>
        <v/>
      </c>
      <c r="J62">
        <f>IFERROR(VLOOKUP(C62,Merchants!$A$2:$D$41,3,FALSE),"Merchant not found")</f>
        <v/>
      </c>
      <c r="K62">
        <f>IFERROR(VLOOKUP(C62,Merchants!$A$2:$D$41,4,FALSE),"Merchant not found")</f>
        <v/>
      </c>
      <c r="L62" s="4">
        <f>HLOOKUP(F62,Fee_Tiers!$B$2:$E$3,2,FALSE)</f>
        <v/>
      </c>
      <c r="M62">
        <f>E62*L62</f>
        <v/>
      </c>
      <c r="N62" s="5" t="n">
        <v>46045</v>
      </c>
      <c r="O62">
        <f>C62&amp;"_"&amp;TEXT(N62,"yyyy-mm-dd")</f>
        <v/>
      </c>
      <c r="P62">
        <f>IFERROR(VLOOKUP(O62,Merchant_Day_Analysis!$A$5:$G$447,7,FALSE),"Not found")</f>
        <v/>
      </c>
    </row>
    <row r="63">
      <c r="A63" t="inlineStr">
        <is>
          <t>TXN100061</t>
        </is>
      </c>
      <c r="B63" t="n">
        <v>290</v>
      </c>
      <c r="C63" t="n">
        <v>3</v>
      </c>
      <c r="D63" s="6" t="n">
        <v>46042.15972222222</v>
      </c>
      <c r="E63" t="n">
        <v>99</v>
      </c>
      <c r="F63" t="inlineStr">
        <is>
          <t>Wallet</t>
        </is>
      </c>
      <c r="G63" t="inlineStr">
        <is>
          <t>captured</t>
        </is>
      </c>
      <c r="H63" t="n">
        <v>44</v>
      </c>
      <c r="I63">
        <f>IFERROR(VLOOKUP(C63,Merchants!$A$2:$D$41,2,FALSE),"Merchant not found")</f>
        <v/>
      </c>
      <c r="J63">
        <f>IFERROR(VLOOKUP(C63,Merchants!$A$2:$D$41,3,FALSE),"Merchant not found")</f>
        <v/>
      </c>
      <c r="K63">
        <f>IFERROR(VLOOKUP(C63,Merchants!$A$2:$D$41,4,FALSE),"Merchant not found")</f>
        <v/>
      </c>
      <c r="L63" s="4">
        <f>HLOOKUP(F63,Fee_Tiers!$B$2:$E$3,2,FALSE)</f>
        <v/>
      </c>
      <c r="M63">
        <f>E63*L63</f>
        <v/>
      </c>
      <c r="N63" s="5" t="n">
        <v>46042</v>
      </c>
      <c r="O63">
        <f>C63&amp;"_"&amp;TEXT(N63,"yyyy-mm-dd")</f>
        <v/>
      </c>
      <c r="P63">
        <f>IFERROR(VLOOKUP(O63,Merchant_Day_Analysis!$A$5:$G$447,7,FALSE),"Not found")</f>
        <v/>
      </c>
    </row>
    <row r="64">
      <c r="A64" t="inlineStr">
        <is>
          <t>TXN100062</t>
        </is>
      </c>
      <c r="B64" t="n">
        <v>190</v>
      </c>
      <c r="C64" t="n">
        <v>5</v>
      </c>
      <c r="D64" s="6" t="n">
        <v>46040.57083333333</v>
      </c>
      <c r="E64" t="n">
        <v>299</v>
      </c>
      <c r="F64" t="inlineStr">
        <is>
          <t>UPI</t>
        </is>
      </c>
      <c r="G64" t="inlineStr">
        <is>
          <t>captured</t>
        </is>
      </c>
      <c r="H64" t="n">
        <v>64</v>
      </c>
      <c r="I64">
        <f>IFERROR(VLOOKUP(C64,Merchants!$A$2:$D$41,2,FALSE),"Merchant not found")</f>
        <v/>
      </c>
      <c r="J64">
        <f>IFERROR(VLOOKUP(C64,Merchants!$A$2:$D$41,3,FALSE),"Merchant not found")</f>
        <v/>
      </c>
      <c r="K64">
        <f>IFERROR(VLOOKUP(C64,Merchants!$A$2:$D$41,4,FALSE),"Merchant not found")</f>
        <v/>
      </c>
      <c r="L64" s="4">
        <f>HLOOKUP(F64,Fee_Tiers!$B$2:$E$3,2,FALSE)</f>
        <v/>
      </c>
      <c r="M64">
        <f>E64*L64</f>
        <v/>
      </c>
      <c r="N64" s="5" t="n">
        <v>46040</v>
      </c>
      <c r="O64">
        <f>C64&amp;"_"&amp;TEXT(N64,"yyyy-mm-dd")</f>
        <v/>
      </c>
      <c r="P64">
        <f>IFERROR(VLOOKUP(O64,Merchant_Day_Analysis!$A$5:$G$447,7,FALSE),"Not found")</f>
        <v/>
      </c>
    </row>
    <row r="65">
      <c r="A65" t="inlineStr">
        <is>
          <t>TXN100063</t>
        </is>
      </c>
      <c r="B65" t="n">
        <v>216</v>
      </c>
      <c r="C65" t="n">
        <v>32</v>
      </c>
      <c r="D65" s="6" t="n">
        <v>46043.41666666666</v>
      </c>
      <c r="E65" t="n">
        <v>49</v>
      </c>
      <c r="F65" t="inlineStr">
        <is>
          <t>Card</t>
        </is>
      </c>
      <c r="G65" t="inlineStr">
        <is>
          <t>captured</t>
        </is>
      </c>
      <c r="H65" t="n">
        <v>13</v>
      </c>
      <c r="I65">
        <f>IFERROR(VLOOKUP(C65,Merchants!$A$2:$D$41,2,FALSE),"Merchant not found")</f>
        <v/>
      </c>
      <c r="J65">
        <f>IFERROR(VLOOKUP(C65,Merchants!$A$2:$D$41,3,FALSE),"Merchant not found")</f>
        <v/>
      </c>
      <c r="K65">
        <f>IFERROR(VLOOKUP(C65,Merchants!$A$2:$D$41,4,FALSE),"Merchant not found")</f>
        <v/>
      </c>
      <c r="L65" s="4">
        <f>HLOOKUP(F65,Fee_Tiers!$B$2:$E$3,2,FALSE)</f>
        <v/>
      </c>
      <c r="M65">
        <f>E65*L65</f>
        <v/>
      </c>
      <c r="N65" s="5" t="n">
        <v>46043</v>
      </c>
      <c r="O65">
        <f>C65&amp;"_"&amp;TEXT(N65,"yyyy-mm-dd")</f>
        <v/>
      </c>
      <c r="P65">
        <f>IFERROR(VLOOKUP(O65,Merchant_Day_Analysis!$A$5:$G$447,7,FALSE),"Not found")</f>
        <v/>
      </c>
    </row>
    <row r="66">
      <c r="A66" t="inlineStr">
        <is>
          <t>TXN100064</t>
        </is>
      </c>
      <c r="B66" t="n">
        <v>236</v>
      </c>
      <c r="C66" t="n">
        <v>10</v>
      </c>
      <c r="D66" s="6" t="n">
        <v>46036.48611111111</v>
      </c>
      <c r="E66" t="n">
        <v>499</v>
      </c>
      <c r="F66" t="inlineStr">
        <is>
          <t>UPI</t>
        </is>
      </c>
      <c r="G66" t="inlineStr">
        <is>
          <t>captured</t>
        </is>
      </c>
      <c r="H66" t="n">
        <v>55</v>
      </c>
      <c r="I66">
        <f>IFERROR(VLOOKUP(C66,Merchants!$A$2:$D$41,2,FALSE),"Merchant not found")</f>
        <v/>
      </c>
      <c r="J66">
        <f>IFERROR(VLOOKUP(C66,Merchants!$A$2:$D$41,3,FALSE),"Merchant not found")</f>
        <v/>
      </c>
      <c r="K66">
        <f>IFERROR(VLOOKUP(C66,Merchants!$A$2:$D$41,4,FALSE),"Merchant not found")</f>
        <v/>
      </c>
      <c r="L66" s="4">
        <f>HLOOKUP(F66,Fee_Tiers!$B$2:$E$3,2,FALSE)</f>
        <v/>
      </c>
      <c r="M66">
        <f>E66*L66</f>
        <v/>
      </c>
      <c r="N66" s="5" t="n">
        <v>46036</v>
      </c>
      <c r="O66">
        <f>C66&amp;"_"&amp;TEXT(N66,"yyyy-mm-dd")</f>
        <v/>
      </c>
      <c r="P66">
        <f>IFERROR(VLOOKUP(O66,Merchant_Day_Analysis!$A$5:$G$447,7,FALSE),"Not found")</f>
        <v/>
      </c>
    </row>
    <row r="67">
      <c r="A67" t="inlineStr">
        <is>
          <t>TXN100065</t>
        </is>
      </c>
      <c r="B67" t="n">
        <v>334</v>
      </c>
      <c r="C67" t="n">
        <v>18</v>
      </c>
      <c r="D67" s="6" t="n">
        <v>46028.98125</v>
      </c>
      <c r="E67" t="n">
        <v>499</v>
      </c>
      <c r="F67" t="inlineStr">
        <is>
          <t>Card</t>
        </is>
      </c>
      <c r="G67" t="inlineStr">
        <is>
          <t>captured</t>
        </is>
      </c>
      <c r="H67" t="n">
        <v>78</v>
      </c>
      <c r="I67">
        <f>IFERROR(VLOOKUP(C67,Merchants!$A$2:$D$41,2,FALSE),"Merchant not found")</f>
        <v/>
      </c>
      <c r="J67">
        <f>IFERROR(VLOOKUP(C67,Merchants!$A$2:$D$41,3,FALSE),"Merchant not found")</f>
        <v/>
      </c>
      <c r="K67">
        <f>IFERROR(VLOOKUP(C67,Merchants!$A$2:$D$41,4,FALSE),"Merchant not found")</f>
        <v/>
      </c>
      <c r="L67" s="4">
        <f>HLOOKUP(F67,Fee_Tiers!$B$2:$E$3,2,FALSE)</f>
        <v/>
      </c>
      <c r="M67">
        <f>E67*L67</f>
        <v/>
      </c>
      <c r="N67" s="5" t="n">
        <v>46028</v>
      </c>
      <c r="O67">
        <f>C67&amp;"_"&amp;TEXT(N67,"yyyy-mm-dd")</f>
        <v/>
      </c>
      <c r="P67">
        <f>IFERROR(VLOOKUP(O67,Merchant_Day_Analysis!$A$5:$G$447,7,FALSE),"Not found")</f>
        <v/>
      </c>
    </row>
    <row r="68">
      <c r="A68" t="inlineStr">
        <is>
          <t>TXN100066</t>
        </is>
      </c>
      <c r="B68" t="n">
        <v>248</v>
      </c>
      <c r="C68" t="n">
        <v>30</v>
      </c>
      <c r="D68" s="6" t="n">
        <v>46048.74236111111</v>
      </c>
      <c r="E68" t="n">
        <v>799</v>
      </c>
      <c r="F68" t="inlineStr">
        <is>
          <t>Wallet</t>
        </is>
      </c>
      <c r="G68" t="inlineStr">
        <is>
          <t>captured</t>
        </is>
      </c>
      <c r="H68" t="n">
        <v>55</v>
      </c>
      <c r="I68">
        <f>IFERROR(VLOOKUP(C68,Merchants!$A$2:$D$41,2,FALSE),"Merchant not found")</f>
        <v/>
      </c>
      <c r="J68">
        <f>IFERROR(VLOOKUP(C68,Merchants!$A$2:$D$41,3,FALSE),"Merchant not found")</f>
        <v/>
      </c>
      <c r="K68">
        <f>IFERROR(VLOOKUP(C68,Merchants!$A$2:$D$41,4,FALSE),"Merchant not found")</f>
        <v/>
      </c>
      <c r="L68" s="4">
        <f>HLOOKUP(F68,Fee_Tiers!$B$2:$E$3,2,FALSE)</f>
        <v/>
      </c>
      <c r="M68">
        <f>E68*L68</f>
        <v/>
      </c>
      <c r="N68" s="5" t="n">
        <v>46048</v>
      </c>
      <c r="O68">
        <f>C68&amp;"_"&amp;TEXT(N68,"yyyy-mm-dd")</f>
        <v/>
      </c>
      <c r="P68">
        <f>IFERROR(VLOOKUP(O68,Merchant_Day_Analysis!$A$5:$G$447,7,FALSE),"Not found")</f>
        <v/>
      </c>
    </row>
    <row r="69">
      <c r="A69" t="inlineStr">
        <is>
          <t>TXN100067</t>
        </is>
      </c>
      <c r="B69" t="n">
        <v>138</v>
      </c>
      <c r="C69" t="n">
        <v>21</v>
      </c>
      <c r="D69" s="6" t="n">
        <v>46049.98402777778</v>
      </c>
      <c r="E69" t="n">
        <v>49</v>
      </c>
      <c r="F69" t="inlineStr">
        <is>
          <t>Card</t>
        </is>
      </c>
      <c r="G69" t="inlineStr">
        <is>
          <t>captured</t>
        </is>
      </c>
      <c r="H69" t="n">
        <v>31</v>
      </c>
      <c r="I69">
        <f>IFERROR(VLOOKUP(C69,Merchants!$A$2:$D$41,2,FALSE),"Merchant not found")</f>
        <v/>
      </c>
      <c r="J69">
        <f>IFERROR(VLOOKUP(C69,Merchants!$A$2:$D$41,3,FALSE),"Merchant not found")</f>
        <v/>
      </c>
      <c r="K69">
        <f>IFERROR(VLOOKUP(C69,Merchants!$A$2:$D$41,4,FALSE),"Merchant not found")</f>
        <v/>
      </c>
      <c r="L69" s="4">
        <f>HLOOKUP(F69,Fee_Tiers!$B$2:$E$3,2,FALSE)</f>
        <v/>
      </c>
      <c r="M69">
        <f>E69*L69</f>
        <v/>
      </c>
      <c r="N69" s="5" t="n">
        <v>46049</v>
      </c>
      <c r="O69">
        <f>C69&amp;"_"&amp;TEXT(N69,"yyyy-mm-dd")</f>
        <v/>
      </c>
      <c r="P69">
        <f>IFERROR(VLOOKUP(O69,Merchant_Day_Analysis!$A$5:$G$447,7,FALSE),"Not found")</f>
        <v/>
      </c>
    </row>
    <row r="70">
      <c r="A70" t="inlineStr">
        <is>
          <t>TXN100068</t>
        </is>
      </c>
      <c r="B70" t="n">
        <v>231</v>
      </c>
      <c r="C70" t="n">
        <v>16</v>
      </c>
      <c r="D70" s="6" t="n">
        <v>46049.09513888889</v>
      </c>
      <c r="E70" t="n">
        <v>49</v>
      </c>
      <c r="F70" t="inlineStr">
        <is>
          <t>UPI</t>
        </is>
      </c>
      <c r="G70" t="inlineStr">
        <is>
          <t>captured</t>
        </is>
      </c>
      <c r="H70" t="n">
        <v>96</v>
      </c>
      <c r="I70">
        <f>IFERROR(VLOOKUP(C70,Merchants!$A$2:$D$41,2,FALSE),"Merchant not found")</f>
        <v/>
      </c>
      <c r="J70">
        <f>IFERROR(VLOOKUP(C70,Merchants!$A$2:$D$41,3,FALSE),"Merchant not found")</f>
        <v/>
      </c>
      <c r="K70">
        <f>IFERROR(VLOOKUP(C70,Merchants!$A$2:$D$41,4,FALSE),"Merchant not found")</f>
        <v/>
      </c>
      <c r="L70" s="4">
        <f>HLOOKUP(F70,Fee_Tiers!$B$2:$E$3,2,FALSE)</f>
        <v/>
      </c>
      <c r="M70">
        <f>E70*L70</f>
        <v/>
      </c>
      <c r="N70" s="5" t="n">
        <v>46049</v>
      </c>
      <c r="O70">
        <f>C70&amp;"_"&amp;TEXT(N70,"yyyy-mm-dd")</f>
        <v/>
      </c>
      <c r="P70">
        <f>IFERROR(VLOOKUP(O70,Merchant_Day_Analysis!$A$5:$G$447,7,FALSE),"Not found")</f>
        <v/>
      </c>
    </row>
    <row r="71">
      <c r="A71" t="inlineStr">
        <is>
          <t>TXN100069</t>
        </is>
      </c>
      <c r="B71" t="n">
        <v>343</v>
      </c>
      <c r="C71" t="n">
        <v>25</v>
      </c>
      <c r="D71" s="6" t="n">
        <v>46037.77708333333</v>
      </c>
      <c r="E71" t="n">
        <v>49</v>
      </c>
      <c r="F71" t="inlineStr">
        <is>
          <t>UPI</t>
        </is>
      </c>
      <c r="G71" t="inlineStr">
        <is>
          <t>captured</t>
        </is>
      </c>
      <c r="H71" t="n">
        <v>43</v>
      </c>
      <c r="I71">
        <f>IFERROR(VLOOKUP(C71,Merchants!$A$2:$D$41,2,FALSE),"Merchant not found")</f>
        <v/>
      </c>
      <c r="J71">
        <f>IFERROR(VLOOKUP(C71,Merchants!$A$2:$D$41,3,FALSE),"Merchant not found")</f>
        <v/>
      </c>
      <c r="K71">
        <f>IFERROR(VLOOKUP(C71,Merchants!$A$2:$D$41,4,FALSE),"Merchant not found")</f>
        <v/>
      </c>
      <c r="L71" s="4">
        <f>HLOOKUP(F71,Fee_Tiers!$B$2:$E$3,2,FALSE)</f>
        <v/>
      </c>
      <c r="M71">
        <f>E71*L71</f>
        <v/>
      </c>
      <c r="N71" s="5" t="n">
        <v>46037</v>
      </c>
      <c r="O71">
        <f>C71&amp;"_"&amp;TEXT(N71,"yyyy-mm-dd")</f>
        <v/>
      </c>
      <c r="P71">
        <f>IFERROR(VLOOKUP(O71,Merchant_Day_Analysis!$A$5:$G$447,7,FALSE),"Not found")</f>
        <v/>
      </c>
    </row>
    <row r="72">
      <c r="A72" t="inlineStr">
        <is>
          <t>TXN100070</t>
        </is>
      </c>
      <c r="B72" t="n">
        <v>167</v>
      </c>
      <c r="C72" t="n">
        <v>12</v>
      </c>
      <c r="D72" s="6" t="n">
        <v>46023.6625</v>
      </c>
      <c r="E72" t="n">
        <v>499</v>
      </c>
      <c r="F72" t="inlineStr">
        <is>
          <t>Wallet</t>
        </is>
      </c>
      <c r="G72" t="inlineStr">
        <is>
          <t>captured</t>
        </is>
      </c>
      <c r="H72" t="n">
        <v>62</v>
      </c>
      <c r="I72">
        <f>IFERROR(VLOOKUP(C72,Merchants!$A$2:$D$41,2,FALSE),"Merchant not found")</f>
        <v/>
      </c>
      <c r="J72">
        <f>IFERROR(VLOOKUP(C72,Merchants!$A$2:$D$41,3,FALSE),"Merchant not found")</f>
        <v/>
      </c>
      <c r="K72">
        <f>IFERROR(VLOOKUP(C72,Merchants!$A$2:$D$41,4,FALSE),"Merchant not found")</f>
        <v/>
      </c>
      <c r="L72" s="4">
        <f>HLOOKUP(F72,Fee_Tiers!$B$2:$E$3,2,FALSE)</f>
        <v/>
      </c>
      <c r="M72">
        <f>E72*L72</f>
        <v/>
      </c>
      <c r="N72" s="5" t="n">
        <v>46023</v>
      </c>
      <c r="O72">
        <f>C72&amp;"_"&amp;TEXT(N72,"yyyy-mm-dd")</f>
        <v/>
      </c>
      <c r="P72">
        <f>IFERROR(VLOOKUP(O72,Merchant_Day_Analysis!$A$5:$G$447,7,FALSE),"Not found")</f>
        <v/>
      </c>
    </row>
    <row r="73">
      <c r="A73" t="inlineStr">
        <is>
          <t>TXN100071</t>
        </is>
      </c>
      <c r="B73" t="n">
        <v>133</v>
      </c>
      <c r="C73" t="n">
        <v>22</v>
      </c>
      <c r="D73" s="6" t="n">
        <v>46029.49375</v>
      </c>
      <c r="E73" t="n">
        <v>499</v>
      </c>
      <c r="F73" t="inlineStr">
        <is>
          <t>UPI</t>
        </is>
      </c>
      <c r="G73" t="inlineStr">
        <is>
          <t>captured</t>
        </is>
      </c>
      <c r="H73" t="n">
        <v>35</v>
      </c>
      <c r="I73">
        <f>IFERROR(VLOOKUP(C73,Merchants!$A$2:$D$41,2,FALSE),"Merchant not found")</f>
        <v/>
      </c>
      <c r="J73">
        <f>IFERROR(VLOOKUP(C73,Merchants!$A$2:$D$41,3,FALSE),"Merchant not found")</f>
        <v/>
      </c>
      <c r="K73">
        <f>IFERROR(VLOOKUP(C73,Merchants!$A$2:$D$41,4,FALSE),"Merchant not found")</f>
        <v/>
      </c>
      <c r="L73" s="4">
        <f>HLOOKUP(F73,Fee_Tiers!$B$2:$E$3,2,FALSE)</f>
        <v/>
      </c>
      <c r="M73">
        <f>E73*L73</f>
        <v/>
      </c>
      <c r="N73" s="5" t="n">
        <v>46029</v>
      </c>
      <c r="O73">
        <f>C73&amp;"_"&amp;TEXT(N73,"yyyy-mm-dd")</f>
        <v/>
      </c>
      <c r="P73">
        <f>IFERROR(VLOOKUP(O73,Merchant_Day_Analysis!$A$5:$G$447,7,FALSE),"Not found")</f>
        <v/>
      </c>
    </row>
    <row r="74">
      <c r="A74" t="inlineStr">
        <is>
          <t>TXN100072</t>
        </is>
      </c>
      <c r="B74" t="n">
        <v>142</v>
      </c>
      <c r="C74" t="n">
        <v>36</v>
      </c>
      <c r="D74" s="6" t="n">
        <v>46051.82222222222</v>
      </c>
      <c r="E74" t="n">
        <v>799</v>
      </c>
      <c r="F74" t="inlineStr">
        <is>
          <t>Wallet</t>
        </is>
      </c>
      <c r="G74" t="inlineStr">
        <is>
          <t>captured</t>
        </is>
      </c>
      <c r="H74" t="n">
        <v>1</v>
      </c>
      <c r="I74">
        <f>IFERROR(VLOOKUP(C74,Merchants!$A$2:$D$41,2,FALSE),"Merchant not found")</f>
        <v/>
      </c>
      <c r="J74">
        <f>IFERROR(VLOOKUP(C74,Merchants!$A$2:$D$41,3,FALSE),"Merchant not found")</f>
        <v/>
      </c>
      <c r="K74">
        <f>IFERROR(VLOOKUP(C74,Merchants!$A$2:$D$41,4,FALSE),"Merchant not found")</f>
        <v/>
      </c>
      <c r="L74" s="4">
        <f>HLOOKUP(F74,Fee_Tiers!$B$2:$E$3,2,FALSE)</f>
        <v/>
      </c>
      <c r="M74">
        <f>E74*L74</f>
        <v/>
      </c>
      <c r="N74" s="5" t="n">
        <v>46051</v>
      </c>
      <c r="O74">
        <f>C74&amp;"_"&amp;TEXT(N74,"yyyy-mm-dd")</f>
        <v/>
      </c>
      <c r="P74">
        <f>IFERROR(VLOOKUP(O74,Merchant_Day_Analysis!$A$5:$G$447,7,FALSE),"Not found")</f>
        <v/>
      </c>
    </row>
    <row r="75">
      <c r="A75" t="inlineStr">
        <is>
          <t>TXN100073</t>
        </is>
      </c>
      <c r="B75" t="n">
        <v>124</v>
      </c>
      <c r="C75" t="n">
        <v>27</v>
      </c>
      <c r="D75" s="6" t="n">
        <v>46039.25347222222</v>
      </c>
      <c r="E75" t="n">
        <v>499</v>
      </c>
      <c r="F75" t="inlineStr">
        <is>
          <t>Wallet</t>
        </is>
      </c>
      <c r="G75" t="inlineStr">
        <is>
          <t>captured</t>
        </is>
      </c>
      <c r="H75" t="n">
        <v>62</v>
      </c>
      <c r="I75">
        <f>IFERROR(VLOOKUP(C75,Merchants!$A$2:$D$41,2,FALSE),"Merchant not found")</f>
        <v/>
      </c>
      <c r="J75">
        <f>IFERROR(VLOOKUP(C75,Merchants!$A$2:$D$41,3,FALSE),"Merchant not found")</f>
        <v/>
      </c>
      <c r="K75">
        <f>IFERROR(VLOOKUP(C75,Merchants!$A$2:$D$41,4,FALSE),"Merchant not found")</f>
        <v/>
      </c>
      <c r="L75" s="4">
        <f>HLOOKUP(F75,Fee_Tiers!$B$2:$E$3,2,FALSE)</f>
        <v/>
      </c>
      <c r="M75">
        <f>E75*L75</f>
        <v/>
      </c>
      <c r="N75" s="5" t="n">
        <v>46039</v>
      </c>
      <c r="O75">
        <f>C75&amp;"_"&amp;TEXT(N75,"yyyy-mm-dd")</f>
        <v/>
      </c>
      <c r="P75">
        <f>IFERROR(VLOOKUP(O75,Merchant_Day_Analysis!$A$5:$G$447,7,FALSE),"Not found")</f>
        <v/>
      </c>
    </row>
    <row r="76">
      <c r="A76" t="inlineStr">
        <is>
          <t>TXN100074</t>
        </is>
      </c>
      <c r="B76" t="n">
        <v>244</v>
      </c>
      <c r="C76" t="n">
        <v>32</v>
      </c>
      <c r="D76" s="6" t="n">
        <v>46040.32222222222</v>
      </c>
      <c r="E76" t="n">
        <v>149</v>
      </c>
      <c r="F76" t="inlineStr">
        <is>
          <t>UPI</t>
        </is>
      </c>
      <c r="G76" t="inlineStr">
        <is>
          <t>captured</t>
        </is>
      </c>
      <c r="H76" t="n">
        <v>57</v>
      </c>
      <c r="I76">
        <f>IFERROR(VLOOKUP(C76,Merchants!$A$2:$D$41,2,FALSE),"Merchant not found")</f>
        <v/>
      </c>
      <c r="J76">
        <f>IFERROR(VLOOKUP(C76,Merchants!$A$2:$D$41,3,FALSE),"Merchant not found")</f>
        <v/>
      </c>
      <c r="K76">
        <f>IFERROR(VLOOKUP(C76,Merchants!$A$2:$D$41,4,FALSE),"Merchant not found")</f>
        <v/>
      </c>
      <c r="L76" s="4">
        <f>HLOOKUP(F76,Fee_Tiers!$B$2:$E$3,2,FALSE)</f>
        <v/>
      </c>
      <c r="M76">
        <f>E76*L76</f>
        <v/>
      </c>
      <c r="N76" s="5" t="n">
        <v>46040</v>
      </c>
      <c r="O76">
        <f>C76&amp;"_"&amp;TEXT(N76,"yyyy-mm-dd")</f>
        <v/>
      </c>
      <c r="P76">
        <f>IFERROR(VLOOKUP(O76,Merchant_Day_Analysis!$A$5:$G$447,7,FALSE),"Not found")</f>
        <v/>
      </c>
    </row>
    <row r="77">
      <c r="A77" t="inlineStr">
        <is>
          <t>TXN100075</t>
        </is>
      </c>
      <c r="B77" t="n">
        <v>151</v>
      </c>
      <c r="C77" t="n">
        <v>15</v>
      </c>
      <c r="D77" s="6" t="n">
        <v>46048.00347222222</v>
      </c>
      <c r="E77" t="n">
        <v>4999</v>
      </c>
      <c r="F77" t="inlineStr">
        <is>
          <t>UPI</t>
        </is>
      </c>
      <c r="G77" t="inlineStr">
        <is>
          <t>captured</t>
        </is>
      </c>
      <c r="H77" t="n">
        <v>51</v>
      </c>
      <c r="I77">
        <f>IFERROR(VLOOKUP(C77,Merchants!$A$2:$D$41,2,FALSE),"Merchant not found")</f>
        <v/>
      </c>
      <c r="J77">
        <f>IFERROR(VLOOKUP(C77,Merchants!$A$2:$D$41,3,FALSE),"Merchant not found")</f>
        <v/>
      </c>
      <c r="K77">
        <f>IFERROR(VLOOKUP(C77,Merchants!$A$2:$D$41,4,FALSE),"Merchant not found")</f>
        <v/>
      </c>
      <c r="L77" s="4">
        <f>HLOOKUP(F77,Fee_Tiers!$B$2:$E$3,2,FALSE)</f>
        <v/>
      </c>
      <c r="M77">
        <f>E77*L77</f>
        <v/>
      </c>
      <c r="N77" s="5" t="n">
        <v>46048</v>
      </c>
      <c r="O77">
        <f>C77&amp;"_"&amp;TEXT(N77,"yyyy-mm-dd")</f>
        <v/>
      </c>
      <c r="P77">
        <f>IFERROR(VLOOKUP(O77,Merchant_Day_Analysis!$A$5:$G$447,7,FALSE),"Not found")</f>
        <v/>
      </c>
    </row>
    <row r="78">
      <c r="A78" t="inlineStr">
        <is>
          <t>TXN100076</t>
        </is>
      </c>
      <c r="B78" t="n">
        <v>340</v>
      </c>
      <c r="C78" t="n">
        <v>38</v>
      </c>
      <c r="D78" s="6" t="n">
        <v>46045.30486111111</v>
      </c>
      <c r="E78" t="n">
        <v>499</v>
      </c>
      <c r="F78" t="inlineStr">
        <is>
          <t>Card</t>
        </is>
      </c>
      <c r="G78" t="inlineStr">
        <is>
          <t>captured</t>
        </is>
      </c>
      <c r="H78" t="n">
        <v>47</v>
      </c>
      <c r="I78">
        <f>IFERROR(VLOOKUP(C78,Merchants!$A$2:$D$41,2,FALSE),"Merchant not found")</f>
        <v/>
      </c>
      <c r="J78">
        <f>IFERROR(VLOOKUP(C78,Merchants!$A$2:$D$41,3,FALSE),"Merchant not found")</f>
        <v/>
      </c>
      <c r="K78">
        <f>IFERROR(VLOOKUP(C78,Merchants!$A$2:$D$41,4,FALSE),"Merchant not found")</f>
        <v/>
      </c>
      <c r="L78" s="4">
        <f>HLOOKUP(F78,Fee_Tiers!$B$2:$E$3,2,FALSE)</f>
        <v/>
      </c>
      <c r="M78">
        <f>E78*L78</f>
        <v/>
      </c>
      <c r="N78" s="5" t="n">
        <v>46045</v>
      </c>
      <c r="O78">
        <f>C78&amp;"_"&amp;TEXT(N78,"yyyy-mm-dd")</f>
        <v/>
      </c>
      <c r="P78">
        <f>IFERROR(VLOOKUP(O78,Merchant_Day_Analysis!$A$5:$G$447,7,FALSE),"Not found")</f>
        <v/>
      </c>
    </row>
    <row r="79">
      <c r="A79" t="inlineStr">
        <is>
          <t>TXN100077</t>
        </is>
      </c>
      <c r="B79" t="n">
        <v>177</v>
      </c>
      <c r="C79" t="n">
        <v>28</v>
      </c>
      <c r="D79" s="6" t="n">
        <v>46038.73125</v>
      </c>
      <c r="E79" t="n">
        <v>299</v>
      </c>
      <c r="F79" t="inlineStr">
        <is>
          <t>UPI</t>
        </is>
      </c>
      <c r="G79" t="inlineStr">
        <is>
          <t>captured</t>
        </is>
      </c>
      <c r="H79" t="n">
        <v>95</v>
      </c>
      <c r="I79">
        <f>IFERROR(VLOOKUP(C79,Merchants!$A$2:$D$41,2,FALSE),"Merchant not found")</f>
        <v/>
      </c>
      <c r="J79">
        <f>IFERROR(VLOOKUP(C79,Merchants!$A$2:$D$41,3,FALSE),"Merchant not found")</f>
        <v/>
      </c>
      <c r="K79">
        <f>IFERROR(VLOOKUP(C79,Merchants!$A$2:$D$41,4,FALSE),"Merchant not found")</f>
        <v/>
      </c>
      <c r="L79" s="4">
        <f>HLOOKUP(F79,Fee_Tiers!$B$2:$E$3,2,FALSE)</f>
        <v/>
      </c>
      <c r="M79">
        <f>E79*L79</f>
        <v/>
      </c>
      <c r="N79" s="5" t="n">
        <v>46038</v>
      </c>
      <c r="O79">
        <f>C79&amp;"_"&amp;TEXT(N79,"yyyy-mm-dd")</f>
        <v/>
      </c>
      <c r="P79">
        <f>IFERROR(VLOOKUP(O79,Merchant_Day_Analysis!$A$5:$G$447,7,FALSE),"Not found")</f>
        <v/>
      </c>
    </row>
    <row r="80">
      <c r="A80" t="inlineStr">
        <is>
          <t>TXN100078</t>
        </is>
      </c>
      <c r="B80" t="n">
        <v>233</v>
      </c>
      <c r="C80" t="n">
        <v>18</v>
      </c>
      <c r="D80" s="6" t="n">
        <v>46040.43194444444</v>
      </c>
      <c r="E80" t="n">
        <v>499</v>
      </c>
      <c r="F80" t="inlineStr">
        <is>
          <t>UPI</t>
        </is>
      </c>
      <c r="G80" t="inlineStr">
        <is>
          <t>captured</t>
        </is>
      </c>
      <c r="H80" t="n">
        <v>39</v>
      </c>
      <c r="I80">
        <f>IFERROR(VLOOKUP(C80,Merchants!$A$2:$D$41,2,FALSE),"Merchant not found")</f>
        <v/>
      </c>
      <c r="J80">
        <f>IFERROR(VLOOKUP(C80,Merchants!$A$2:$D$41,3,FALSE),"Merchant not found")</f>
        <v/>
      </c>
      <c r="K80">
        <f>IFERROR(VLOOKUP(C80,Merchants!$A$2:$D$41,4,FALSE),"Merchant not found")</f>
        <v/>
      </c>
      <c r="L80" s="4">
        <f>HLOOKUP(F80,Fee_Tiers!$B$2:$E$3,2,FALSE)</f>
        <v/>
      </c>
      <c r="M80">
        <f>E80*L80</f>
        <v/>
      </c>
      <c r="N80" s="5" t="n">
        <v>46040</v>
      </c>
      <c r="O80">
        <f>C80&amp;"_"&amp;TEXT(N80,"yyyy-mm-dd")</f>
        <v/>
      </c>
      <c r="P80">
        <f>IFERROR(VLOOKUP(O80,Merchant_Day_Analysis!$A$5:$G$447,7,FALSE),"Not found")</f>
        <v/>
      </c>
    </row>
    <row r="81">
      <c r="A81" t="inlineStr">
        <is>
          <t>TXN100079</t>
        </is>
      </c>
      <c r="B81" t="n">
        <v>99</v>
      </c>
      <c r="C81" t="n">
        <v>21</v>
      </c>
      <c r="D81" s="6" t="n">
        <v>46031.29652777778</v>
      </c>
      <c r="E81" t="n">
        <v>499</v>
      </c>
      <c r="F81" t="inlineStr">
        <is>
          <t>UPI</t>
        </is>
      </c>
      <c r="G81" t="inlineStr">
        <is>
          <t>captured</t>
        </is>
      </c>
      <c r="H81" t="n">
        <v>15</v>
      </c>
      <c r="I81">
        <f>IFERROR(VLOOKUP(C81,Merchants!$A$2:$D$41,2,FALSE),"Merchant not found")</f>
        <v/>
      </c>
      <c r="J81">
        <f>IFERROR(VLOOKUP(C81,Merchants!$A$2:$D$41,3,FALSE),"Merchant not found")</f>
        <v/>
      </c>
      <c r="K81">
        <f>IFERROR(VLOOKUP(C81,Merchants!$A$2:$D$41,4,FALSE),"Merchant not found")</f>
        <v/>
      </c>
      <c r="L81" s="4">
        <f>HLOOKUP(F81,Fee_Tiers!$B$2:$E$3,2,FALSE)</f>
        <v/>
      </c>
      <c r="M81">
        <f>E81*L81</f>
        <v/>
      </c>
      <c r="N81" s="5" t="n">
        <v>46031</v>
      </c>
      <c r="O81">
        <f>C81&amp;"_"&amp;TEXT(N81,"yyyy-mm-dd")</f>
        <v/>
      </c>
      <c r="P81">
        <f>IFERROR(VLOOKUP(O81,Merchant_Day_Analysis!$A$5:$G$447,7,FALSE),"Not found")</f>
        <v/>
      </c>
    </row>
    <row r="82">
      <c r="A82" t="inlineStr">
        <is>
          <t>TXN100080</t>
        </is>
      </c>
      <c r="B82" t="n">
        <v>95</v>
      </c>
      <c r="C82" t="n">
        <v>13</v>
      </c>
      <c r="D82" s="6" t="n">
        <v>46046.74166666667</v>
      </c>
      <c r="E82" t="n">
        <v>2999</v>
      </c>
      <c r="F82" t="inlineStr">
        <is>
          <t>Netbanking</t>
        </is>
      </c>
      <c r="G82" t="inlineStr">
        <is>
          <t>failed</t>
        </is>
      </c>
      <c r="H82" t="n">
        <v>27</v>
      </c>
      <c r="I82">
        <f>IFERROR(VLOOKUP(C82,Merchants!$A$2:$D$41,2,FALSE),"Merchant not found")</f>
        <v/>
      </c>
      <c r="J82">
        <f>IFERROR(VLOOKUP(C82,Merchants!$A$2:$D$41,3,FALSE),"Merchant not found")</f>
        <v/>
      </c>
      <c r="K82">
        <f>IFERROR(VLOOKUP(C82,Merchants!$A$2:$D$41,4,FALSE),"Merchant not found")</f>
        <v/>
      </c>
      <c r="L82" s="4">
        <f>HLOOKUP(F82,Fee_Tiers!$B$2:$E$3,2,FALSE)</f>
        <v/>
      </c>
      <c r="M82">
        <f>E82*L82</f>
        <v/>
      </c>
      <c r="N82" s="5" t="n">
        <v>46046</v>
      </c>
      <c r="O82">
        <f>C82&amp;"_"&amp;TEXT(N82,"yyyy-mm-dd")</f>
        <v/>
      </c>
      <c r="P82">
        <f>IFERROR(VLOOKUP(O82,Merchant_Day_Analysis!$A$5:$G$447,7,FALSE),"Not found")</f>
        <v/>
      </c>
    </row>
    <row r="83">
      <c r="A83" t="inlineStr">
        <is>
          <t>TXN100081</t>
        </is>
      </c>
      <c r="B83" t="n">
        <v>302</v>
      </c>
      <c r="C83" t="n">
        <v>34</v>
      </c>
      <c r="D83" s="6" t="n">
        <v>46046.63680555556</v>
      </c>
      <c r="E83" t="n">
        <v>49</v>
      </c>
      <c r="F83" t="inlineStr">
        <is>
          <t>Netbanking</t>
        </is>
      </c>
      <c r="G83" t="inlineStr">
        <is>
          <t>captured</t>
        </is>
      </c>
      <c r="H83" t="n">
        <v>76</v>
      </c>
      <c r="I83">
        <f>IFERROR(VLOOKUP(C83,Merchants!$A$2:$D$41,2,FALSE),"Merchant not found")</f>
        <v/>
      </c>
      <c r="J83">
        <f>IFERROR(VLOOKUP(C83,Merchants!$A$2:$D$41,3,FALSE),"Merchant not found")</f>
        <v/>
      </c>
      <c r="K83">
        <f>IFERROR(VLOOKUP(C83,Merchants!$A$2:$D$41,4,FALSE),"Merchant not found")</f>
        <v/>
      </c>
      <c r="L83" s="4">
        <f>HLOOKUP(F83,Fee_Tiers!$B$2:$E$3,2,FALSE)</f>
        <v/>
      </c>
      <c r="M83">
        <f>E83*L83</f>
        <v/>
      </c>
      <c r="N83" s="5" t="n">
        <v>46046</v>
      </c>
      <c r="O83">
        <f>C83&amp;"_"&amp;TEXT(N83,"yyyy-mm-dd")</f>
        <v/>
      </c>
      <c r="P83">
        <f>IFERROR(VLOOKUP(O83,Merchant_Day_Analysis!$A$5:$G$447,7,FALSE),"Not found")</f>
        <v/>
      </c>
    </row>
    <row r="84">
      <c r="A84" t="inlineStr">
        <is>
          <t>TXN100082</t>
        </is>
      </c>
      <c r="B84" t="n">
        <v>100</v>
      </c>
      <c r="C84" t="n">
        <v>19</v>
      </c>
      <c r="D84" s="6" t="n">
        <v>46032.16180555556</v>
      </c>
      <c r="E84" t="n">
        <v>2999</v>
      </c>
      <c r="F84" t="inlineStr">
        <is>
          <t>Netbanking</t>
        </is>
      </c>
      <c r="G84" t="inlineStr">
        <is>
          <t>captured</t>
        </is>
      </c>
      <c r="H84" t="n">
        <v>29</v>
      </c>
      <c r="I84">
        <f>IFERROR(VLOOKUP(C84,Merchants!$A$2:$D$41,2,FALSE),"Merchant not found")</f>
        <v/>
      </c>
      <c r="J84">
        <f>IFERROR(VLOOKUP(C84,Merchants!$A$2:$D$41,3,FALSE),"Merchant not found")</f>
        <v/>
      </c>
      <c r="K84">
        <f>IFERROR(VLOOKUP(C84,Merchants!$A$2:$D$41,4,FALSE),"Merchant not found")</f>
        <v/>
      </c>
      <c r="L84" s="4">
        <f>HLOOKUP(F84,Fee_Tiers!$B$2:$E$3,2,FALSE)</f>
        <v/>
      </c>
      <c r="M84">
        <f>E84*L84</f>
        <v/>
      </c>
      <c r="N84" s="5" t="n">
        <v>46032</v>
      </c>
      <c r="O84">
        <f>C84&amp;"_"&amp;TEXT(N84,"yyyy-mm-dd")</f>
        <v/>
      </c>
      <c r="P84">
        <f>IFERROR(VLOOKUP(O84,Merchant_Day_Analysis!$A$5:$G$447,7,FALSE),"Not found")</f>
        <v/>
      </c>
    </row>
    <row r="85">
      <c r="A85" t="inlineStr">
        <is>
          <t>TXN100083</t>
        </is>
      </c>
      <c r="B85" t="n">
        <v>8</v>
      </c>
      <c r="C85" t="n">
        <v>35</v>
      </c>
      <c r="D85" s="6" t="n">
        <v>46034.22152777778</v>
      </c>
      <c r="E85" t="n">
        <v>99</v>
      </c>
      <c r="F85" t="inlineStr">
        <is>
          <t>UPI</t>
        </is>
      </c>
      <c r="G85" t="inlineStr">
        <is>
          <t>captured</t>
        </is>
      </c>
      <c r="H85" t="n">
        <v>16</v>
      </c>
      <c r="I85">
        <f>IFERROR(VLOOKUP(C85,Merchants!$A$2:$D$41,2,FALSE),"Merchant not found")</f>
        <v/>
      </c>
      <c r="J85">
        <f>IFERROR(VLOOKUP(C85,Merchants!$A$2:$D$41,3,FALSE),"Merchant not found")</f>
        <v/>
      </c>
      <c r="K85">
        <f>IFERROR(VLOOKUP(C85,Merchants!$A$2:$D$41,4,FALSE),"Merchant not found")</f>
        <v/>
      </c>
      <c r="L85" s="4">
        <f>HLOOKUP(F85,Fee_Tiers!$B$2:$E$3,2,FALSE)</f>
        <v/>
      </c>
      <c r="M85">
        <f>E85*L85</f>
        <v/>
      </c>
      <c r="N85" s="5" t="n">
        <v>46034</v>
      </c>
      <c r="O85">
        <f>C85&amp;"_"&amp;TEXT(N85,"yyyy-mm-dd")</f>
        <v/>
      </c>
      <c r="P85">
        <f>IFERROR(VLOOKUP(O85,Merchant_Day_Analysis!$A$5:$G$447,7,FALSE),"Not found")</f>
        <v/>
      </c>
    </row>
    <row r="86">
      <c r="A86" t="inlineStr">
        <is>
          <t>TXN100084</t>
        </is>
      </c>
      <c r="B86" t="n">
        <v>284</v>
      </c>
      <c r="C86" t="n">
        <v>19</v>
      </c>
      <c r="D86" s="6" t="n">
        <v>46031.04375</v>
      </c>
      <c r="E86" t="n">
        <v>99</v>
      </c>
      <c r="F86" t="inlineStr">
        <is>
          <t>UPI</t>
        </is>
      </c>
      <c r="G86" t="inlineStr">
        <is>
          <t>captured</t>
        </is>
      </c>
      <c r="H86" t="n">
        <v>89</v>
      </c>
      <c r="I86">
        <f>IFERROR(VLOOKUP(C86,Merchants!$A$2:$D$41,2,FALSE),"Merchant not found")</f>
        <v/>
      </c>
      <c r="J86">
        <f>IFERROR(VLOOKUP(C86,Merchants!$A$2:$D$41,3,FALSE),"Merchant not found")</f>
        <v/>
      </c>
      <c r="K86">
        <f>IFERROR(VLOOKUP(C86,Merchants!$A$2:$D$41,4,FALSE),"Merchant not found")</f>
        <v/>
      </c>
      <c r="L86" s="4">
        <f>HLOOKUP(F86,Fee_Tiers!$B$2:$E$3,2,FALSE)</f>
        <v/>
      </c>
      <c r="M86">
        <f>E86*L86</f>
        <v/>
      </c>
      <c r="N86" s="5" t="n">
        <v>46031</v>
      </c>
      <c r="O86">
        <f>C86&amp;"_"&amp;TEXT(N86,"yyyy-mm-dd")</f>
        <v/>
      </c>
      <c r="P86">
        <f>IFERROR(VLOOKUP(O86,Merchant_Day_Analysis!$A$5:$G$447,7,FALSE),"Not found")</f>
        <v/>
      </c>
    </row>
    <row r="87">
      <c r="A87" t="inlineStr">
        <is>
          <t>TXN100085</t>
        </is>
      </c>
      <c r="B87" t="n">
        <v>252</v>
      </c>
      <c r="C87" t="n">
        <v>7</v>
      </c>
      <c r="D87" s="6" t="n">
        <v>46027.87152777778</v>
      </c>
      <c r="E87" t="n">
        <v>2999</v>
      </c>
      <c r="F87" t="inlineStr">
        <is>
          <t>Wallet</t>
        </is>
      </c>
      <c r="G87" t="inlineStr">
        <is>
          <t>captured</t>
        </is>
      </c>
      <c r="H87" t="n">
        <v>1</v>
      </c>
      <c r="I87">
        <f>IFERROR(VLOOKUP(C87,Merchants!$A$2:$D$41,2,FALSE),"Merchant not found")</f>
        <v/>
      </c>
      <c r="J87">
        <f>IFERROR(VLOOKUP(C87,Merchants!$A$2:$D$41,3,FALSE),"Merchant not found")</f>
        <v/>
      </c>
      <c r="K87">
        <f>IFERROR(VLOOKUP(C87,Merchants!$A$2:$D$41,4,FALSE),"Merchant not found")</f>
        <v/>
      </c>
      <c r="L87" s="4">
        <f>HLOOKUP(F87,Fee_Tiers!$B$2:$E$3,2,FALSE)</f>
        <v/>
      </c>
      <c r="M87">
        <f>E87*L87</f>
        <v/>
      </c>
      <c r="N87" s="5" t="n">
        <v>46027</v>
      </c>
      <c r="O87">
        <f>C87&amp;"_"&amp;TEXT(N87,"yyyy-mm-dd")</f>
        <v/>
      </c>
      <c r="P87">
        <f>IFERROR(VLOOKUP(O87,Merchant_Day_Analysis!$A$5:$G$447,7,FALSE),"Not found")</f>
        <v/>
      </c>
    </row>
    <row r="88">
      <c r="A88" t="inlineStr">
        <is>
          <t>TXN100086</t>
        </is>
      </c>
      <c r="B88" t="n">
        <v>246</v>
      </c>
      <c r="C88" t="n">
        <v>29</v>
      </c>
      <c r="D88" s="6" t="n">
        <v>46041.39583333334</v>
      </c>
      <c r="E88" t="n">
        <v>49</v>
      </c>
      <c r="F88" t="inlineStr">
        <is>
          <t>Wallet</t>
        </is>
      </c>
      <c r="G88" t="inlineStr">
        <is>
          <t>captured</t>
        </is>
      </c>
      <c r="H88" t="n">
        <v>43</v>
      </c>
      <c r="I88">
        <f>IFERROR(VLOOKUP(C88,Merchants!$A$2:$D$41,2,FALSE),"Merchant not found")</f>
        <v/>
      </c>
      <c r="J88">
        <f>IFERROR(VLOOKUP(C88,Merchants!$A$2:$D$41,3,FALSE),"Merchant not found")</f>
        <v/>
      </c>
      <c r="K88">
        <f>IFERROR(VLOOKUP(C88,Merchants!$A$2:$D$41,4,FALSE),"Merchant not found")</f>
        <v/>
      </c>
      <c r="L88" s="4">
        <f>HLOOKUP(F88,Fee_Tiers!$B$2:$E$3,2,FALSE)</f>
        <v/>
      </c>
      <c r="M88">
        <f>E88*L88</f>
        <v/>
      </c>
      <c r="N88" s="5" t="n">
        <v>46041</v>
      </c>
      <c r="O88">
        <f>C88&amp;"_"&amp;TEXT(N88,"yyyy-mm-dd")</f>
        <v/>
      </c>
      <c r="P88">
        <f>IFERROR(VLOOKUP(O88,Merchant_Day_Analysis!$A$5:$G$447,7,FALSE),"Not found")</f>
        <v/>
      </c>
    </row>
    <row r="89">
      <c r="A89" t="inlineStr">
        <is>
          <t>TXN100087</t>
        </is>
      </c>
      <c r="B89" t="n">
        <v>245</v>
      </c>
      <c r="C89" t="n">
        <v>8</v>
      </c>
      <c r="D89" s="6" t="n">
        <v>46028.05277777778</v>
      </c>
      <c r="E89" t="n">
        <v>49</v>
      </c>
      <c r="F89" t="inlineStr">
        <is>
          <t>UPI</t>
        </is>
      </c>
      <c r="G89" t="inlineStr">
        <is>
          <t>chargeback</t>
        </is>
      </c>
      <c r="H89" t="n">
        <v>8</v>
      </c>
      <c r="I89">
        <f>IFERROR(VLOOKUP(C89,Merchants!$A$2:$D$41,2,FALSE),"Merchant not found")</f>
        <v/>
      </c>
      <c r="J89">
        <f>IFERROR(VLOOKUP(C89,Merchants!$A$2:$D$41,3,FALSE),"Merchant not found")</f>
        <v/>
      </c>
      <c r="K89">
        <f>IFERROR(VLOOKUP(C89,Merchants!$A$2:$D$41,4,FALSE),"Merchant not found")</f>
        <v/>
      </c>
      <c r="L89" s="4">
        <f>HLOOKUP(F89,Fee_Tiers!$B$2:$E$3,2,FALSE)</f>
        <v/>
      </c>
      <c r="M89">
        <f>E89*L89</f>
        <v/>
      </c>
      <c r="N89" s="5" t="n">
        <v>46028</v>
      </c>
      <c r="O89">
        <f>C89&amp;"_"&amp;TEXT(N89,"yyyy-mm-dd")</f>
        <v/>
      </c>
      <c r="P89">
        <f>IFERROR(VLOOKUP(O89,Merchant_Day_Analysis!$A$5:$G$447,7,FALSE),"Not found")</f>
        <v/>
      </c>
    </row>
    <row r="90">
      <c r="A90" t="inlineStr">
        <is>
          <t>TXN100088</t>
        </is>
      </c>
      <c r="B90" t="n">
        <v>296</v>
      </c>
      <c r="C90" t="n">
        <v>4</v>
      </c>
      <c r="D90" s="6" t="n">
        <v>46035.62777777778</v>
      </c>
      <c r="E90" t="n">
        <v>799</v>
      </c>
      <c r="F90" t="inlineStr">
        <is>
          <t>Wallet</t>
        </is>
      </c>
      <c r="G90" t="inlineStr">
        <is>
          <t>captured</t>
        </is>
      </c>
      <c r="H90" t="n">
        <v>19</v>
      </c>
      <c r="I90">
        <f>IFERROR(VLOOKUP(C90,Merchants!$A$2:$D$41,2,FALSE),"Merchant not found")</f>
        <v/>
      </c>
      <c r="J90">
        <f>IFERROR(VLOOKUP(C90,Merchants!$A$2:$D$41,3,FALSE),"Merchant not found")</f>
        <v/>
      </c>
      <c r="K90">
        <f>IFERROR(VLOOKUP(C90,Merchants!$A$2:$D$41,4,FALSE),"Merchant not found")</f>
        <v/>
      </c>
      <c r="L90" s="4">
        <f>HLOOKUP(F90,Fee_Tiers!$B$2:$E$3,2,FALSE)</f>
        <v/>
      </c>
      <c r="M90">
        <f>E90*L90</f>
        <v/>
      </c>
      <c r="N90" s="5" t="n">
        <v>46035</v>
      </c>
      <c r="O90">
        <f>C90&amp;"_"&amp;TEXT(N90,"yyyy-mm-dd")</f>
        <v/>
      </c>
      <c r="P90">
        <f>IFERROR(VLOOKUP(O90,Merchant_Day_Analysis!$A$5:$G$447,7,FALSE),"Not found")</f>
        <v/>
      </c>
    </row>
    <row r="91">
      <c r="A91" t="inlineStr">
        <is>
          <t>TXN100089</t>
        </is>
      </c>
      <c r="B91" t="n">
        <v>44</v>
      </c>
      <c r="C91" t="n">
        <v>16</v>
      </c>
      <c r="D91" s="6" t="n">
        <v>46027.76319444444</v>
      </c>
      <c r="E91" t="n">
        <v>149</v>
      </c>
      <c r="F91" t="inlineStr">
        <is>
          <t>UPI</t>
        </is>
      </c>
      <c r="G91" t="inlineStr">
        <is>
          <t>captured</t>
        </is>
      </c>
      <c r="H91" t="n">
        <v>15</v>
      </c>
      <c r="I91">
        <f>IFERROR(VLOOKUP(C91,Merchants!$A$2:$D$41,2,FALSE),"Merchant not found")</f>
        <v/>
      </c>
      <c r="J91">
        <f>IFERROR(VLOOKUP(C91,Merchants!$A$2:$D$41,3,FALSE),"Merchant not found")</f>
        <v/>
      </c>
      <c r="K91">
        <f>IFERROR(VLOOKUP(C91,Merchants!$A$2:$D$41,4,FALSE),"Merchant not found")</f>
        <v/>
      </c>
      <c r="L91" s="4">
        <f>HLOOKUP(F91,Fee_Tiers!$B$2:$E$3,2,FALSE)</f>
        <v/>
      </c>
      <c r="M91">
        <f>E91*L91</f>
        <v/>
      </c>
      <c r="N91" s="5" t="n">
        <v>46027</v>
      </c>
      <c r="O91">
        <f>C91&amp;"_"&amp;TEXT(N91,"yyyy-mm-dd")</f>
        <v/>
      </c>
      <c r="P91">
        <f>IFERROR(VLOOKUP(O91,Merchant_Day_Analysis!$A$5:$G$447,7,FALSE),"Not found")</f>
        <v/>
      </c>
    </row>
    <row r="92">
      <c r="A92" t="inlineStr">
        <is>
          <t>TXN100090</t>
        </is>
      </c>
      <c r="B92" t="n">
        <v>306</v>
      </c>
      <c r="C92" t="n">
        <v>40</v>
      </c>
      <c r="D92" s="6" t="n">
        <v>46040.56805555556</v>
      </c>
      <c r="E92" t="n">
        <v>799</v>
      </c>
      <c r="F92" t="inlineStr">
        <is>
          <t>Card</t>
        </is>
      </c>
      <c r="G92" t="inlineStr">
        <is>
          <t>captured</t>
        </is>
      </c>
      <c r="H92" t="n">
        <v>28</v>
      </c>
      <c r="I92">
        <f>IFERROR(VLOOKUP(C92,Merchants!$A$2:$D$41,2,FALSE),"Merchant not found")</f>
        <v/>
      </c>
      <c r="J92">
        <f>IFERROR(VLOOKUP(C92,Merchants!$A$2:$D$41,3,FALSE),"Merchant not found")</f>
        <v/>
      </c>
      <c r="K92">
        <f>IFERROR(VLOOKUP(C92,Merchants!$A$2:$D$41,4,FALSE),"Merchant not found")</f>
        <v/>
      </c>
      <c r="L92" s="4">
        <f>HLOOKUP(F92,Fee_Tiers!$B$2:$E$3,2,FALSE)</f>
        <v/>
      </c>
      <c r="M92">
        <f>E92*L92</f>
        <v/>
      </c>
      <c r="N92" s="5" t="n">
        <v>46040</v>
      </c>
      <c r="O92">
        <f>C92&amp;"_"&amp;TEXT(N92,"yyyy-mm-dd")</f>
        <v/>
      </c>
      <c r="P92">
        <f>IFERROR(VLOOKUP(O92,Merchant_Day_Analysis!$A$5:$G$447,7,FALSE),"Not found")</f>
        <v/>
      </c>
    </row>
    <row r="93">
      <c r="A93" t="inlineStr">
        <is>
          <t>TXN100091</t>
        </is>
      </c>
      <c r="B93" t="n">
        <v>231</v>
      </c>
      <c r="C93" t="n">
        <v>29</v>
      </c>
      <c r="D93" s="6" t="n">
        <v>46047.68333333333</v>
      </c>
      <c r="E93" t="n">
        <v>299</v>
      </c>
      <c r="F93" t="inlineStr">
        <is>
          <t>UPI</t>
        </is>
      </c>
      <c r="G93" t="inlineStr">
        <is>
          <t>captured</t>
        </is>
      </c>
      <c r="H93" t="n">
        <v>38</v>
      </c>
      <c r="I93">
        <f>IFERROR(VLOOKUP(C93,Merchants!$A$2:$D$41,2,FALSE),"Merchant not found")</f>
        <v/>
      </c>
      <c r="J93">
        <f>IFERROR(VLOOKUP(C93,Merchants!$A$2:$D$41,3,FALSE),"Merchant not found")</f>
        <v/>
      </c>
      <c r="K93">
        <f>IFERROR(VLOOKUP(C93,Merchants!$A$2:$D$41,4,FALSE),"Merchant not found")</f>
        <v/>
      </c>
      <c r="L93" s="4">
        <f>HLOOKUP(F93,Fee_Tiers!$B$2:$E$3,2,FALSE)</f>
        <v/>
      </c>
      <c r="M93">
        <f>E93*L93</f>
        <v/>
      </c>
      <c r="N93" s="5" t="n">
        <v>46047</v>
      </c>
      <c r="O93">
        <f>C93&amp;"_"&amp;TEXT(N93,"yyyy-mm-dd")</f>
        <v/>
      </c>
      <c r="P93">
        <f>IFERROR(VLOOKUP(O93,Merchant_Day_Analysis!$A$5:$G$447,7,FALSE),"Not found")</f>
        <v/>
      </c>
    </row>
    <row r="94">
      <c r="A94" t="inlineStr">
        <is>
          <t>TXN100092</t>
        </is>
      </c>
      <c r="B94" t="n">
        <v>157</v>
      </c>
      <c r="C94" t="n">
        <v>37</v>
      </c>
      <c r="D94" s="6" t="n">
        <v>46050.76875</v>
      </c>
      <c r="E94" t="n">
        <v>499</v>
      </c>
      <c r="F94" t="inlineStr">
        <is>
          <t>Wallet</t>
        </is>
      </c>
      <c r="G94" t="inlineStr">
        <is>
          <t>captured</t>
        </is>
      </c>
      <c r="H94" t="n">
        <v>79</v>
      </c>
      <c r="I94">
        <f>IFERROR(VLOOKUP(C94,Merchants!$A$2:$D$41,2,FALSE),"Merchant not found")</f>
        <v/>
      </c>
      <c r="J94">
        <f>IFERROR(VLOOKUP(C94,Merchants!$A$2:$D$41,3,FALSE),"Merchant not found")</f>
        <v/>
      </c>
      <c r="K94">
        <f>IFERROR(VLOOKUP(C94,Merchants!$A$2:$D$41,4,FALSE),"Merchant not found")</f>
        <v/>
      </c>
      <c r="L94" s="4">
        <f>HLOOKUP(F94,Fee_Tiers!$B$2:$E$3,2,FALSE)</f>
        <v/>
      </c>
      <c r="M94">
        <f>E94*L94</f>
        <v/>
      </c>
      <c r="N94" s="5" t="n">
        <v>46050</v>
      </c>
      <c r="O94">
        <f>C94&amp;"_"&amp;TEXT(N94,"yyyy-mm-dd")</f>
        <v/>
      </c>
      <c r="P94">
        <f>IFERROR(VLOOKUP(O94,Merchant_Day_Analysis!$A$5:$G$447,7,FALSE),"Not found")</f>
        <v/>
      </c>
    </row>
    <row r="95">
      <c r="A95" t="inlineStr">
        <is>
          <t>TXN100093</t>
        </is>
      </c>
      <c r="B95" t="n">
        <v>51</v>
      </c>
      <c r="C95" t="n">
        <v>14</v>
      </c>
      <c r="D95" s="6" t="n">
        <v>46024.82430555556</v>
      </c>
      <c r="E95" t="n">
        <v>1499</v>
      </c>
      <c r="F95" t="inlineStr">
        <is>
          <t>UPI</t>
        </is>
      </c>
      <c r="G95" t="inlineStr">
        <is>
          <t>captured</t>
        </is>
      </c>
      <c r="H95" t="n">
        <v>80</v>
      </c>
      <c r="I95">
        <f>IFERROR(VLOOKUP(C95,Merchants!$A$2:$D$41,2,FALSE),"Merchant not found")</f>
        <v/>
      </c>
      <c r="J95">
        <f>IFERROR(VLOOKUP(C95,Merchants!$A$2:$D$41,3,FALSE),"Merchant not found")</f>
        <v/>
      </c>
      <c r="K95">
        <f>IFERROR(VLOOKUP(C95,Merchants!$A$2:$D$41,4,FALSE),"Merchant not found")</f>
        <v/>
      </c>
      <c r="L95" s="4">
        <f>HLOOKUP(F95,Fee_Tiers!$B$2:$E$3,2,FALSE)</f>
        <v/>
      </c>
      <c r="M95">
        <f>E95*L95</f>
        <v/>
      </c>
      <c r="N95" s="5" t="n">
        <v>46024</v>
      </c>
      <c r="O95">
        <f>C95&amp;"_"&amp;TEXT(N95,"yyyy-mm-dd")</f>
        <v/>
      </c>
      <c r="P95">
        <f>IFERROR(VLOOKUP(O95,Merchant_Day_Analysis!$A$5:$G$447,7,FALSE),"Not found")</f>
        <v/>
      </c>
    </row>
    <row r="96">
      <c r="A96" t="inlineStr">
        <is>
          <t>TXN100094</t>
        </is>
      </c>
      <c r="B96" t="n">
        <v>42</v>
      </c>
      <c r="C96" t="n">
        <v>11</v>
      </c>
      <c r="D96" s="6" t="n">
        <v>46029.3625</v>
      </c>
      <c r="E96" t="n">
        <v>49</v>
      </c>
      <c r="F96" t="inlineStr">
        <is>
          <t>Wallet</t>
        </is>
      </c>
      <c r="G96" t="inlineStr">
        <is>
          <t>captured</t>
        </is>
      </c>
      <c r="H96" t="n">
        <v>30</v>
      </c>
      <c r="I96">
        <f>IFERROR(VLOOKUP(C96,Merchants!$A$2:$D$41,2,FALSE),"Merchant not found")</f>
        <v/>
      </c>
      <c r="J96">
        <f>IFERROR(VLOOKUP(C96,Merchants!$A$2:$D$41,3,FALSE),"Merchant not found")</f>
        <v/>
      </c>
      <c r="K96">
        <f>IFERROR(VLOOKUP(C96,Merchants!$A$2:$D$41,4,FALSE),"Merchant not found")</f>
        <v/>
      </c>
      <c r="L96" s="4">
        <f>HLOOKUP(F96,Fee_Tiers!$B$2:$E$3,2,FALSE)</f>
        <v/>
      </c>
      <c r="M96">
        <f>E96*L96</f>
        <v/>
      </c>
      <c r="N96" s="5" t="n">
        <v>46029</v>
      </c>
      <c r="O96">
        <f>C96&amp;"_"&amp;TEXT(N96,"yyyy-mm-dd")</f>
        <v/>
      </c>
      <c r="P96">
        <f>IFERROR(VLOOKUP(O96,Merchant_Day_Analysis!$A$5:$G$447,7,FALSE),"Not found")</f>
        <v/>
      </c>
    </row>
    <row r="97">
      <c r="A97" t="inlineStr">
        <is>
          <t>TXN100095</t>
        </is>
      </c>
      <c r="B97" t="n">
        <v>81</v>
      </c>
      <c r="C97" t="n">
        <v>1</v>
      </c>
      <c r="D97" s="6" t="n">
        <v>46028.71111111111</v>
      </c>
      <c r="E97" t="n">
        <v>149</v>
      </c>
      <c r="F97" t="inlineStr">
        <is>
          <t>UPI</t>
        </is>
      </c>
      <c r="G97" t="inlineStr">
        <is>
          <t>captured</t>
        </is>
      </c>
      <c r="H97" t="n">
        <v>52</v>
      </c>
      <c r="I97">
        <f>IFERROR(VLOOKUP(C97,Merchants!$A$2:$D$41,2,FALSE),"Merchant not found")</f>
        <v/>
      </c>
      <c r="J97">
        <f>IFERROR(VLOOKUP(C97,Merchants!$A$2:$D$41,3,FALSE),"Merchant not found")</f>
        <v/>
      </c>
      <c r="K97">
        <f>IFERROR(VLOOKUP(C97,Merchants!$A$2:$D$41,4,FALSE),"Merchant not found")</f>
        <v/>
      </c>
      <c r="L97" s="4">
        <f>HLOOKUP(F97,Fee_Tiers!$B$2:$E$3,2,FALSE)</f>
        <v/>
      </c>
      <c r="M97">
        <f>E97*L97</f>
        <v/>
      </c>
      <c r="N97" s="5" t="n">
        <v>46028</v>
      </c>
      <c r="O97">
        <f>C97&amp;"_"&amp;TEXT(N97,"yyyy-mm-dd")</f>
        <v/>
      </c>
      <c r="P97">
        <f>IFERROR(VLOOKUP(O97,Merchant_Day_Analysis!$A$5:$G$447,7,FALSE),"Not found")</f>
        <v/>
      </c>
    </row>
    <row r="98">
      <c r="A98" t="inlineStr">
        <is>
          <t>TXN100096</t>
        </is>
      </c>
      <c r="B98" t="n">
        <v>241</v>
      </c>
      <c r="C98" t="n">
        <v>19</v>
      </c>
      <c r="D98" s="6" t="n">
        <v>46037.94305555556</v>
      </c>
      <c r="E98" t="n">
        <v>299</v>
      </c>
      <c r="F98" t="inlineStr">
        <is>
          <t>UPI</t>
        </is>
      </c>
      <c r="G98" t="inlineStr">
        <is>
          <t>captured</t>
        </is>
      </c>
      <c r="H98" t="n">
        <v>4</v>
      </c>
      <c r="I98">
        <f>IFERROR(VLOOKUP(C98,Merchants!$A$2:$D$41,2,FALSE),"Merchant not found")</f>
        <v/>
      </c>
      <c r="J98">
        <f>IFERROR(VLOOKUP(C98,Merchants!$A$2:$D$41,3,FALSE),"Merchant not found")</f>
        <v/>
      </c>
      <c r="K98">
        <f>IFERROR(VLOOKUP(C98,Merchants!$A$2:$D$41,4,FALSE),"Merchant not found")</f>
        <v/>
      </c>
      <c r="L98" s="4">
        <f>HLOOKUP(F98,Fee_Tiers!$B$2:$E$3,2,FALSE)</f>
        <v/>
      </c>
      <c r="M98">
        <f>E98*L98</f>
        <v/>
      </c>
      <c r="N98" s="5" t="n">
        <v>46037</v>
      </c>
      <c r="O98">
        <f>C98&amp;"_"&amp;TEXT(N98,"yyyy-mm-dd")</f>
        <v/>
      </c>
      <c r="P98">
        <f>IFERROR(VLOOKUP(O98,Merchant_Day_Analysis!$A$5:$G$447,7,FALSE),"Not found")</f>
        <v/>
      </c>
    </row>
    <row r="99">
      <c r="A99" t="inlineStr">
        <is>
          <t>TXN100097</t>
        </is>
      </c>
      <c r="B99" t="n">
        <v>145</v>
      </c>
      <c r="C99" t="n">
        <v>30</v>
      </c>
      <c r="D99" s="6" t="n">
        <v>46030.40625</v>
      </c>
      <c r="E99" t="n">
        <v>799</v>
      </c>
      <c r="F99" t="inlineStr">
        <is>
          <t>UPI</t>
        </is>
      </c>
      <c r="G99" t="inlineStr">
        <is>
          <t>captured</t>
        </is>
      </c>
      <c r="H99" t="n">
        <v>9</v>
      </c>
      <c r="I99">
        <f>IFERROR(VLOOKUP(C99,Merchants!$A$2:$D$41,2,FALSE),"Merchant not found")</f>
        <v/>
      </c>
      <c r="J99">
        <f>IFERROR(VLOOKUP(C99,Merchants!$A$2:$D$41,3,FALSE),"Merchant not found")</f>
        <v/>
      </c>
      <c r="K99">
        <f>IFERROR(VLOOKUP(C99,Merchants!$A$2:$D$41,4,FALSE),"Merchant not found")</f>
        <v/>
      </c>
      <c r="L99" s="4">
        <f>HLOOKUP(F99,Fee_Tiers!$B$2:$E$3,2,FALSE)</f>
        <v/>
      </c>
      <c r="M99">
        <f>E99*L99</f>
        <v/>
      </c>
      <c r="N99" s="5" t="n">
        <v>46030</v>
      </c>
      <c r="O99">
        <f>C99&amp;"_"&amp;TEXT(N99,"yyyy-mm-dd")</f>
        <v/>
      </c>
      <c r="P99">
        <f>IFERROR(VLOOKUP(O99,Merchant_Day_Analysis!$A$5:$G$447,7,FALSE),"Not found")</f>
        <v/>
      </c>
    </row>
    <row r="100">
      <c r="A100" t="inlineStr">
        <is>
          <t>TXN100098</t>
        </is>
      </c>
      <c r="B100" t="n">
        <v>136</v>
      </c>
      <c r="C100" t="n">
        <v>38</v>
      </c>
      <c r="D100" s="6" t="n">
        <v>46044.33263888889</v>
      </c>
      <c r="E100" t="n">
        <v>299</v>
      </c>
      <c r="F100" t="inlineStr">
        <is>
          <t>Card</t>
        </is>
      </c>
      <c r="G100" t="inlineStr">
        <is>
          <t>captured</t>
        </is>
      </c>
      <c r="H100" t="n">
        <v>84</v>
      </c>
      <c r="I100">
        <f>IFERROR(VLOOKUP(C100,Merchants!$A$2:$D$41,2,FALSE),"Merchant not found")</f>
        <v/>
      </c>
      <c r="J100">
        <f>IFERROR(VLOOKUP(C100,Merchants!$A$2:$D$41,3,FALSE),"Merchant not found")</f>
        <v/>
      </c>
      <c r="K100">
        <f>IFERROR(VLOOKUP(C100,Merchants!$A$2:$D$41,4,FALSE),"Merchant not found")</f>
        <v/>
      </c>
      <c r="L100" s="4">
        <f>HLOOKUP(F100,Fee_Tiers!$B$2:$E$3,2,FALSE)</f>
        <v/>
      </c>
      <c r="M100">
        <f>E100*L100</f>
        <v/>
      </c>
      <c r="N100" s="5" t="n">
        <v>46044</v>
      </c>
      <c r="O100">
        <f>C100&amp;"_"&amp;TEXT(N100,"yyyy-mm-dd")</f>
        <v/>
      </c>
      <c r="P100">
        <f>IFERROR(VLOOKUP(O100,Merchant_Day_Analysis!$A$5:$G$447,7,FALSE),"Not found")</f>
        <v/>
      </c>
    </row>
    <row r="101">
      <c r="A101" t="inlineStr">
        <is>
          <t>TXN100099</t>
        </is>
      </c>
      <c r="B101" t="n">
        <v>59</v>
      </c>
      <c r="C101" t="n">
        <v>35</v>
      </c>
      <c r="D101" s="6" t="n">
        <v>46048.26875</v>
      </c>
      <c r="E101" t="n">
        <v>499</v>
      </c>
      <c r="F101" t="inlineStr">
        <is>
          <t>UPI</t>
        </is>
      </c>
      <c r="G101" t="inlineStr">
        <is>
          <t>captured</t>
        </is>
      </c>
      <c r="H101" t="n">
        <v>28</v>
      </c>
      <c r="I101">
        <f>IFERROR(VLOOKUP(C101,Merchants!$A$2:$D$41,2,FALSE),"Merchant not found")</f>
        <v/>
      </c>
      <c r="J101">
        <f>IFERROR(VLOOKUP(C101,Merchants!$A$2:$D$41,3,FALSE),"Merchant not found")</f>
        <v/>
      </c>
      <c r="K101">
        <f>IFERROR(VLOOKUP(C101,Merchants!$A$2:$D$41,4,FALSE),"Merchant not found")</f>
        <v/>
      </c>
      <c r="L101" s="4">
        <f>HLOOKUP(F101,Fee_Tiers!$B$2:$E$3,2,FALSE)</f>
        <v/>
      </c>
      <c r="M101">
        <f>E101*L101</f>
        <v/>
      </c>
      <c r="N101" s="5" t="n">
        <v>46048</v>
      </c>
      <c r="O101">
        <f>C101&amp;"_"&amp;TEXT(N101,"yyyy-mm-dd")</f>
        <v/>
      </c>
      <c r="P101">
        <f>IFERROR(VLOOKUP(O101,Merchant_Day_Analysis!$A$5:$G$447,7,FALSE),"Not found")</f>
        <v/>
      </c>
    </row>
    <row r="102">
      <c r="A102" t="inlineStr">
        <is>
          <t>TXN100100</t>
        </is>
      </c>
      <c r="B102" t="n">
        <v>137</v>
      </c>
      <c r="C102" t="n">
        <v>10</v>
      </c>
      <c r="D102" s="6" t="n">
        <v>46043.20694444444</v>
      </c>
      <c r="E102" t="n">
        <v>299</v>
      </c>
      <c r="F102" t="inlineStr">
        <is>
          <t>UPI</t>
        </is>
      </c>
      <c r="G102" t="inlineStr">
        <is>
          <t>captured</t>
        </is>
      </c>
      <c r="H102" t="n">
        <v>9</v>
      </c>
      <c r="I102">
        <f>IFERROR(VLOOKUP(C102,Merchants!$A$2:$D$41,2,FALSE),"Merchant not found")</f>
        <v/>
      </c>
      <c r="J102">
        <f>IFERROR(VLOOKUP(C102,Merchants!$A$2:$D$41,3,FALSE),"Merchant not found")</f>
        <v/>
      </c>
      <c r="K102">
        <f>IFERROR(VLOOKUP(C102,Merchants!$A$2:$D$41,4,FALSE),"Merchant not found")</f>
        <v/>
      </c>
      <c r="L102" s="4">
        <f>HLOOKUP(F102,Fee_Tiers!$B$2:$E$3,2,FALSE)</f>
        <v/>
      </c>
      <c r="M102">
        <f>E102*L102</f>
        <v/>
      </c>
      <c r="N102" s="5" t="n">
        <v>46043</v>
      </c>
      <c r="O102">
        <f>C102&amp;"_"&amp;TEXT(N102,"yyyy-mm-dd")</f>
        <v/>
      </c>
      <c r="P102">
        <f>IFERROR(VLOOKUP(O102,Merchant_Day_Analysis!$A$5:$G$447,7,FALSE),"Not found")</f>
        <v/>
      </c>
    </row>
    <row r="103">
      <c r="A103" t="inlineStr">
        <is>
          <t>TXN100101</t>
        </is>
      </c>
      <c r="B103" t="n">
        <v>158</v>
      </c>
      <c r="C103" t="n">
        <v>39</v>
      </c>
      <c r="D103" s="6" t="n">
        <v>46024.24305555555</v>
      </c>
      <c r="E103" t="n">
        <v>499</v>
      </c>
      <c r="F103" t="inlineStr">
        <is>
          <t>Netbanking</t>
        </is>
      </c>
      <c r="G103" t="inlineStr">
        <is>
          <t>captured</t>
        </is>
      </c>
      <c r="H103" t="n">
        <v>95</v>
      </c>
      <c r="I103">
        <f>IFERROR(VLOOKUP(C103,Merchants!$A$2:$D$41,2,FALSE),"Merchant not found")</f>
        <v/>
      </c>
      <c r="J103">
        <f>IFERROR(VLOOKUP(C103,Merchants!$A$2:$D$41,3,FALSE),"Merchant not found")</f>
        <v/>
      </c>
      <c r="K103">
        <f>IFERROR(VLOOKUP(C103,Merchants!$A$2:$D$41,4,FALSE),"Merchant not found")</f>
        <v/>
      </c>
      <c r="L103" s="4">
        <f>HLOOKUP(F103,Fee_Tiers!$B$2:$E$3,2,FALSE)</f>
        <v/>
      </c>
      <c r="M103">
        <f>E103*L103</f>
        <v/>
      </c>
      <c r="N103" s="5" t="n">
        <v>46024</v>
      </c>
      <c r="O103">
        <f>C103&amp;"_"&amp;TEXT(N103,"yyyy-mm-dd")</f>
        <v/>
      </c>
      <c r="P103">
        <f>IFERROR(VLOOKUP(O103,Merchant_Day_Analysis!$A$5:$G$447,7,FALSE),"Not found")</f>
        <v/>
      </c>
    </row>
    <row r="104">
      <c r="A104" t="inlineStr">
        <is>
          <t>TXN100102</t>
        </is>
      </c>
      <c r="B104" t="n">
        <v>148</v>
      </c>
      <c r="C104" t="n">
        <v>29</v>
      </c>
      <c r="D104" s="6" t="n">
        <v>46049.79027777778</v>
      </c>
      <c r="E104" t="n">
        <v>99</v>
      </c>
      <c r="F104" t="inlineStr">
        <is>
          <t>Card</t>
        </is>
      </c>
      <c r="G104" t="inlineStr">
        <is>
          <t>captured</t>
        </is>
      </c>
      <c r="H104" t="n">
        <v>15</v>
      </c>
      <c r="I104">
        <f>IFERROR(VLOOKUP(C104,Merchants!$A$2:$D$41,2,FALSE),"Merchant not found")</f>
        <v/>
      </c>
      <c r="J104">
        <f>IFERROR(VLOOKUP(C104,Merchants!$A$2:$D$41,3,FALSE),"Merchant not found")</f>
        <v/>
      </c>
      <c r="K104">
        <f>IFERROR(VLOOKUP(C104,Merchants!$A$2:$D$41,4,FALSE),"Merchant not found")</f>
        <v/>
      </c>
      <c r="L104" s="4">
        <f>HLOOKUP(F104,Fee_Tiers!$B$2:$E$3,2,FALSE)</f>
        <v/>
      </c>
      <c r="M104">
        <f>E104*L104</f>
        <v/>
      </c>
      <c r="N104" s="5" t="n">
        <v>46049</v>
      </c>
      <c r="O104">
        <f>C104&amp;"_"&amp;TEXT(N104,"yyyy-mm-dd")</f>
        <v/>
      </c>
      <c r="P104">
        <f>IFERROR(VLOOKUP(O104,Merchant_Day_Analysis!$A$5:$G$447,7,FALSE),"Not found")</f>
        <v/>
      </c>
    </row>
    <row r="105">
      <c r="A105" t="inlineStr">
        <is>
          <t>TXN100103</t>
        </is>
      </c>
      <c r="B105" t="n">
        <v>207</v>
      </c>
      <c r="C105" t="n">
        <v>18</v>
      </c>
      <c r="D105" s="6" t="n">
        <v>46037.92986111111</v>
      </c>
      <c r="E105" t="n">
        <v>149</v>
      </c>
      <c r="F105" t="inlineStr">
        <is>
          <t>UPI</t>
        </is>
      </c>
      <c r="G105" t="inlineStr">
        <is>
          <t>captured</t>
        </is>
      </c>
      <c r="H105" t="n">
        <v>64</v>
      </c>
      <c r="I105">
        <f>IFERROR(VLOOKUP(C105,Merchants!$A$2:$D$41,2,FALSE),"Merchant not found")</f>
        <v/>
      </c>
      <c r="J105">
        <f>IFERROR(VLOOKUP(C105,Merchants!$A$2:$D$41,3,FALSE),"Merchant not found")</f>
        <v/>
      </c>
      <c r="K105">
        <f>IFERROR(VLOOKUP(C105,Merchants!$A$2:$D$41,4,FALSE),"Merchant not found")</f>
        <v/>
      </c>
      <c r="L105" s="4">
        <f>HLOOKUP(F105,Fee_Tiers!$B$2:$E$3,2,FALSE)</f>
        <v/>
      </c>
      <c r="M105">
        <f>E105*L105</f>
        <v/>
      </c>
      <c r="N105" s="5" t="n">
        <v>46037</v>
      </c>
      <c r="O105">
        <f>C105&amp;"_"&amp;TEXT(N105,"yyyy-mm-dd")</f>
        <v/>
      </c>
      <c r="P105">
        <f>IFERROR(VLOOKUP(O105,Merchant_Day_Analysis!$A$5:$G$447,7,FALSE),"Not found")</f>
        <v/>
      </c>
    </row>
    <row r="106">
      <c r="A106" t="inlineStr">
        <is>
          <t>TXN100104</t>
        </is>
      </c>
      <c r="B106" t="n">
        <v>42</v>
      </c>
      <c r="C106" t="n">
        <v>39</v>
      </c>
      <c r="D106" s="6" t="n">
        <v>46040.64444444444</v>
      </c>
      <c r="E106" t="n">
        <v>2999</v>
      </c>
      <c r="F106" t="inlineStr">
        <is>
          <t>Card</t>
        </is>
      </c>
      <c r="G106" t="inlineStr">
        <is>
          <t>captured</t>
        </is>
      </c>
      <c r="H106" t="n">
        <v>5</v>
      </c>
      <c r="I106">
        <f>IFERROR(VLOOKUP(C106,Merchants!$A$2:$D$41,2,FALSE),"Merchant not found")</f>
        <v/>
      </c>
      <c r="J106">
        <f>IFERROR(VLOOKUP(C106,Merchants!$A$2:$D$41,3,FALSE),"Merchant not found")</f>
        <v/>
      </c>
      <c r="K106">
        <f>IFERROR(VLOOKUP(C106,Merchants!$A$2:$D$41,4,FALSE),"Merchant not found")</f>
        <v/>
      </c>
      <c r="L106" s="4">
        <f>HLOOKUP(F106,Fee_Tiers!$B$2:$E$3,2,FALSE)</f>
        <v/>
      </c>
      <c r="M106">
        <f>E106*L106</f>
        <v/>
      </c>
      <c r="N106" s="5" t="n">
        <v>46040</v>
      </c>
      <c r="O106">
        <f>C106&amp;"_"&amp;TEXT(N106,"yyyy-mm-dd")</f>
        <v/>
      </c>
      <c r="P106">
        <f>IFERROR(VLOOKUP(O106,Merchant_Day_Analysis!$A$5:$G$447,7,FALSE),"Not found")</f>
        <v/>
      </c>
    </row>
    <row r="107">
      <c r="A107" t="inlineStr">
        <is>
          <t>TXN100105</t>
        </is>
      </c>
      <c r="B107" t="n">
        <v>166</v>
      </c>
      <c r="C107" t="n">
        <v>39</v>
      </c>
      <c r="D107" s="6" t="n">
        <v>46051.57430555556</v>
      </c>
      <c r="E107" t="n">
        <v>149</v>
      </c>
      <c r="F107" t="inlineStr">
        <is>
          <t>UPI</t>
        </is>
      </c>
      <c r="G107" t="inlineStr">
        <is>
          <t>captured</t>
        </is>
      </c>
      <c r="H107" t="n">
        <v>32</v>
      </c>
      <c r="I107">
        <f>IFERROR(VLOOKUP(C107,Merchants!$A$2:$D$41,2,FALSE),"Merchant not found")</f>
        <v/>
      </c>
      <c r="J107">
        <f>IFERROR(VLOOKUP(C107,Merchants!$A$2:$D$41,3,FALSE),"Merchant not found")</f>
        <v/>
      </c>
      <c r="K107">
        <f>IFERROR(VLOOKUP(C107,Merchants!$A$2:$D$41,4,FALSE),"Merchant not found")</f>
        <v/>
      </c>
      <c r="L107" s="4">
        <f>HLOOKUP(F107,Fee_Tiers!$B$2:$E$3,2,FALSE)</f>
        <v/>
      </c>
      <c r="M107">
        <f>E107*L107</f>
        <v/>
      </c>
      <c r="N107" s="5" t="n">
        <v>46051</v>
      </c>
      <c r="O107">
        <f>C107&amp;"_"&amp;TEXT(N107,"yyyy-mm-dd")</f>
        <v/>
      </c>
      <c r="P107">
        <f>IFERROR(VLOOKUP(O107,Merchant_Day_Analysis!$A$5:$G$447,7,FALSE),"Not found")</f>
        <v/>
      </c>
    </row>
    <row r="108">
      <c r="A108" t="inlineStr">
        <is>
          <t>TXN100106</t>
        </is>
      </c>
      <c r="B108" t="n">
        <v>346</v>
      </c>
      <c r="C108" t="n">
        <v>37</v>
      </c>
      <c r="D108" s="6" t="n">
        <v>46023.09305555555</v>
      </c>
      <c r="E108" t="n">
        <v>99</v>
      </c>
      <c r="F108" t="inlineStr">
        <is>
          <t>UPI</t>
        </is>
      </c>
      <c r="G108" t="inlineStr">
        <is>
          <t>captured</t>
        </is>
      </c>
      <c r="H108" t="n">
        <v>75</v>
      </c>
      <c r="I108">
        <f>IFERROR(VLOOKUP(C108,Merchants!$A$2:$D$41,2,FALSE),"Merchant not found")</f>
        <v/>
      </c>
      <c r="J108">
        <f>IFERROR(VLOOKUP(C108,Merchants!$A$2:$D$41,3,FALSE),"Merchant not found")</f>
        <v/>
      </c>
      <c r="K108">
        <f>IFERROR(VLOOKUP(C108,Merchants!$A$2:$D$41,4,FALSE),"Merchant not found")</f>
        <v/>
      </c>
      <c r="L108" s="4">
        <f>HLOOKUP(F108,Fee_Tiers!$B$2:$E$3,2,FALSE)</f>
        <v/>
      </c>
      <c r="M108">
        <f>E108*L108</f>
        <v/>
      </c>
      <c r="N108" s="5" t="n">
        <v>46023</v>
      </c>
      <c r="O108">
        <f>C108&amp;"_"&amp;TEXT(N108,"yyyy-mm-dd")</f>
        <v/>
      </c>
      <c r="P108">
        <f>IFERROR(VLOOKUP(O108,Merchant_Day_Analysis!$A$5:$G$447,7,FALSE),"Not found")</f>
        <v/>
      </c>
    </row>
    <row r="109">
      <c r="A109" t="inlineStr">
        <is>
          <t>TXN100107</t>
        </is>
      </c>
      <c r="B109" t="n">
        <v>138</v>
      </c>
      <c r="C109" t="n">
        <v>37</v>
      </c>
      <c r="D109" s="6" t="n">
        <v>46023.91111111111</v>
      </c>
      <c r="E109" t="n">
        <v>499</v>
      </c>
      <c r="F109" t="inlineStr">
        <is>
          <t>UPI</t>
        </is>
      </c>
      <c r="G109" t="inlineStr">
        <is>
          <t>captured</t>
        </is>
      </c>
      <c r="H109" t="n">
        <v>5</v>
      </c>
      <c r="I109">
        <f>IFERROR(VLOOKUP(C109,Merchants!$A$2:$D$41,2,FALSE),"Merchant not found")</f>
        <v/>
      </c>
      <c r="J109">
        <f>IFERROR(VLOOKUP(C109,Merchants!$A$2:$D$41,3,FALSE),"Merchant not found")</f>
        <v/>
      </c>
      <c r="K109">
        <f>IFERROR(VLOOKUP(C109,Merchants!$A$2:$D$41,4,FALSE),"Merchant not found")</f>
        <v/>
      </c>
      <c r="L109" s="4">
        <f>HLOOKUP(F109,Fee_Tiers!$B$2:$E$3,2,FALSE)</f>
        <v/>
      </c>
      <c r="M109">
        <f>E109*L109</f>
        <v/>
      </c>
      <c r="N109" s="5" t="n">
        <v>46023</v>
      </c>
      <c r="O109">
        <f>C109&amp;"_"&amp;TEXT(N109,"yyyy-mm-dd")</f>
        <v/>
      </c>
      <c r="P109">
        <f>IFERROR(VLOOKUP(O109,Merchant_Day_Analysis!$A$5:$G$447,7,FALSE),"Not found")</f>
        <v/>
      </c>
    </row>
    <row r="110">
      <c r="A110" t="inlineStr">
        <is>
          <t>TXN100108</t>
        </is>
      </c>
      <c r="B110" t="n">
        <v>266</v>
      </c>
      <c r="C110" t="n">
        <v>29</v>
      </c>
      <c r="D110" s="6" t="n">
        <v>46047.22916666666</v>
      </c>
      <c r="E110" t="n">
        <v>499</v>
      </c>
      <c r="F110" t="inlineStr">
        <is>
          <t>Wallet</t>
        </is>
      </c>
      <c r="G110" t="inlineStr">
        <is>
          <t>failed</t>
        </is>
      </c>
      <c r="H110" t="n">
        <v>35</v>
      </c>
      <c r="I110">
        <f>IFERROR(VLOOKUP(C110,Merchants!$A$2:$D$41,2,FALSE),"Merchant not found")</f>
        <v/>
      </c>
      <c r="J110">
        <f>IFERROR(VLOOKUP(C110,Merchants!$A$2:$D$41,3,FALSE),"Merchant not found")</f>
        <v/>
      </c>
      <c r="K110">
        <f>IFERROR(VLOOKUP(C110,Merchants!$A$2:$D$41,4,FALSE),"Merchant not found")</f>
        <v/>
      </c>
      <c r="L110" s="4">
        <f>HLOOKUP(F110,Fee_Tiers!$B$2:$E$3,2,FALSE)</f>
        <v/>
      </c>
      <c r="M110">
        <f>E110*L110</f>
        <v/>
      </c>
      <c r="N110" s="5" t="n">
        <v>46047</v>
      </c>
      <c r="O110">
        <f>C110&amp;"_"&amp;TEXT(N110,"yyyy-mm-dd")</f>
        <v/>
      </c>
      <c r="P110">
        <f>IFERROR(VLOOKUP(O110,Merchant_Day_Analysis!$A$5:$G$447,7,FALSE),"Not found")</f>
        <v/>
      </c>
    </row>
    <row r="111">
      <c r="A111" t="inlineStr">
        <is>
          <t>TXN100109</t>
        </is>
      </c>
      <c r="B111" t="n">
        <v>326</v>
      </c>
      <c r="C111" t="n">
        <v>32</v>
      </c>
      <c r="D111" s="6" t="n">
        <v>46028.76875</v>
      </c>
      <c r="E111" t="n">
        <v>149</v>
      </c>
      <c r="F111" t="inlineStr">
        <is>
          <t>UPI</t>
        </is>
      </c>
      <c r="G111" t="inlineStr">
        <is>
          <t>captured</t>
        </is>
      </c>
      <c r="H111" t="n">
        <v>11</v>
      </c>
      <c r="I111">
        <f>IFERROR(VLOOKUP(C111,Merchants!$A$2:$D$41,2,FALSE),"Merchant not found")</f>
        <v/>
      </c>
      <c r="J111">
        <f>IFERROR(VLOOKUP(C111,Merchants!$A$2:$D$41,3,FALSE),"Merchant not found")</f>
        <v/>
      </c>
      <c r="K111">
        <f>IFERROR(VLOOKUP(C111,Merchants!$A$2:$D$41,4,FALSE),"Merchant not found")</f>
        <v/>
      </c>
      <c r="L111" s="4">
        <f>HLOOKUP(F111,Fee_Tiers!$B$2:$E$3,2,FALSE)</f>
        <v/>
      </c>
      <c r="M111">
        <f>E111*L111</f>
        <v/>
      </c>
      <c r="N111" s="5" t="n">
        <v>46028</v>
      </c>
      <c r="O111">
        <f>C111&amp;"_"&amp;TEXT(N111,"yyyy-mm-dd")</f>
        <v/>
      </c>
      <c r="P111">
        <f>IFERROR(VLOOKUP(O111,Merchant_Day_Analysis!$A$5:$G$447,7,FALSE),"Not found")</f>
        <v/>
      </c>
    </row>
    <row r="112">
      <c r="A112" t="inlineStr">
        <is>
          <t>TXN100110</t>
        </is>
      </c>
      <c r="B112" t="n">
        <v>171</v>
      </c>
      <c r="C112" t="n">
        <v>21</v>
      </c>
      <c r="D112" s="6" t="n">
        <v>46038.47638888889</v>
      </c>
      <c r="E112" t="n">
        <v>799</v>
      </c>
      <c r="F112" t="inlineStr">
        <is>
          <t>UPI</t>
        </is>
      </c>
      <c r="G112" t="inlineStr">
        <is>
          <t>captured</t>
        </is>
      </c>
      <c r="H112" t="n">
        <v>85</v>
      </c>
      <c r="I112">
        <f>IFERROR(VLOOKUP(C112,Merchants!$A$2:$D$41,2,FALSE),"Merchant not found")</f>
        <v/>
      </c>
      <c r="J112">
        <f>IFERROR(VLOOKUP(C112,Merchants!$A$2:$D$41,3,FALSE),"Merchant not found")</f>
        <v/>
      </c>
      <c r="K112">
        <f>IFERROR(VLOOKUP(C112,Merchants!$A$2:$D$41,4,FALSE),"Merchant not found")</f>
        <v/>
      </c>
      <c r="L112" s="4">
        <f>HLOOKUP(F112,Fee_Tiers!$B$2:$E$3,2,FALSE)</f>
        <v/>
      </c>
      <c r="M112">
        <f>E112*L112</f>
        <v/>
      </c>
      <c r="N112" s="5" t="n">
        <v>46038</v>
      </c>
      <c r="O112">
        <f>C112&amp;"_"&amp;TEXT(N112,"yyyy-mm-dd")</f>
        <v/>
      </c>
      <c r="P112">
        <f>IFERROR(VLOOKUP(O112,Merchant_Day_Analysis!$A$5:$G$447,7,FALSE),"Not found")</f>
        <v/>
      </c>
    </row>
    <row r="113">
      <c r="A113" t="inlineStr">
        <is>
          <t>TXN100111</t>
        </is>
      </c>
      <c r="B113" t="n">
        <v>211</v>
      </c>
      <c r="C113" t="n">
        <v>32</v>
      </c>
      <c r="D113" s="6" t="n">
        <v>46026.22291666667</v>
      </c>
      <c r="E113" t="n">
        <v>49</v>
      </c>
      <c r="F113" t="inlineStr">
        <is>
          <t>UPI</t>
        </is>
      </c>
      <c r="G113" t="inlineStr">
        <is>
          <t>captured</t>
        </is>
      </c>
      <c r="H113" t="n">
        <v>36</v>
      </c>
      <c r="I113">
        <f>IFERROR(VLOOKUP(C113,Merchants!$A$2:$D$41,2,FALSE),"Merchant not found")</f>
        <v/>
      </c>
      <c r="J113">
        <f>IFERROR(VLOOKUP(C113,Merchants!$A$2:$D$41,3,FALSE),"Merchant not found")</f>
        <v/>
      </c>
      <c r="K113">
        <f>IFERROR(VLOOKUP(C113,Merchants!$A$2:$D$41,4,FALSE),"Merchant not found")</f>
        <v/>
      </c>
      <c r="L113" s="4">
        <f>HLOOKUP(F113,Fee_Tiers!$B$2:$E$3,2,FALSE)</f>
        <v/>
      </c>
      <c r="M113">
        <f>E113*L113</f>
        <v/>
      </c>
      <c r="N113" s="5" t="n">
        <v>46026</v>
      </c>
      <c r="O113">
        <f>C113&amp;"_"&amp;TEXT(N113,"yyyy-mm-dd")</f>
        <v/>
      </c>
      <c r="P113">
        <f>IFERROR(VLOOKUP(O113,Merchant_Day_Analysis!$A$5:$G$447,7,FALSE),"Not found")</f>
        <v/>
      </c>
    </row>
    <row r="114">
      <c r="A114" t="inlineStr">
        <is>
          <t>TXN100112</t>
        </is>
      </c>
      <c r="B114" t="n">
        <v>282</v>
      </c>
      <c r="C114" t="n">
        <v>3</v>
      </c>
      <c r="D114" s="6" t="n">
        <v>46044.53611111111</v>
      </c>
      <c r="E114" t="n">
        <v>499</v>
      </c>
      <c r="F114" t="inlineStr">
        <is>
          <t>UPI</t>
        </is>
      </c>
      <c r="G114" t="inlineStr">
        <is>
          <t>captured</t>
        </is>
      </c>
      <c r="H114" t="n">
        <v>58</v>
      </c>
      <c r="I114">
        <f>IFERROR(VLOOKUP(C114,Merchants!$A$2:$D$41,2,FALSE),"Merchant not found")</f>
        <v/>
      </c>
      <c r="J114">
        <f>IFERROR(VLOOKUP(C114,Merchants!$A$2:$D$41,3,FALSE),"Merchant not found")</f>
        <v/>
      </c>
      <c r="K114">
        <f>IFERROR(VLOOKUP(C114,Merchants!$A$2:$D$41,4,FALSE),"Merchant not found")</f>
        <v/>
      </c>
      <c r="L114" s="4">
        <f>HLOOKUP(F114,Fee_Tiers!$B$2:$E$3,2,FALSE)</f>
        <v/>
      </c>
      <c r="M114">
        <f>E114*L114</f>
        <v/>
      </c>
      <c r="N114" s="5" t="n">
        <v>46044</v>
      </c>
      <c r="O114">
        <f>C114&amp;"_"&amp;TEXT(N114,"yyyy-mm-dd")</f>
        <v/>
      </c>
      <c r="P114">
        <f>IFERROR(VLOOKUP(O114,Merchant_Day_Analysis!$A$5:$G$447,7,FALSE),"Not found")</f>
        <v/>
      </c>
    </row>
    <row r="115">
      <c r="A115" t="inlineStr">
        <is>
          <t>TXN100113</t>
        </is>
      </c>
      <c r="B115" t="n">
        <v>166</v>
      </c>
      <c r="C115" t="n">
        <v>8</v>
      </c>
      <c r="D115" s="6" t="n">
        <v>46025.42777777778</v>
      </c>
      <c r="E115" t="n">
        <v>299</v>
      </c>
      <c r="F115" t="inlineStr">
        <is>
          <t>UPI</t>
        </is>
      </c>
      <c r="G115" t="inlineStr">
        <is>
          <t>captured</t>
        </is>
      </c>
      <c r="H115" t="n">
        <v>98</v>
      </c>
      <c r="I115">
        <f>IFERROR(VLOOKUP(C115,Merchants!$A$2:$D$41,2,FALSE),"Merchant not found")</f>
        <v/>
      </c>
      <c r="J115">
        <f>IFERROR(VLOOKUP(C115,Merchants!$A$2:$D$41,3,FALSE),"Merchant not found")</f>
        <v/>
      </c>
      <c r="K115">
        <f>IFERROR(VLOOKUP(C115,Merchants!$A$2:$D$41,4,FALSE),"Merchant not found")</f>
        <v/>
      </c>
      <c r="L115" s="4">
        <f>HLOOKUP(F115,Fee_Tiers!$B$2:$E$3,2,FALSE)</f>
        <v/>
      </c>
      <c r="M115">
        <f>E115*L115</f>
        <v/>
      </c>
      <c r="N115" s="5" t="n">
        <v>46025</v>
      </c>
      <c r="O115">
        <f>C115&amp;"_"&amp;TEXT(N115,"yyyy-mm-dd")</f>
        <v/>
      </c>
      <c r="P115">
        <f>IFERROR(VLOOKUP(O115,Merchant_Day_Analysis!$A$5:$G$447,7,FALSE),"Not found")</f>
        <v/>
      </c>
    </row>
    <row r="116">
      <c r="A116" t="inlineStr">
        <is>
          <t>TXN100114</t>
        </is>
      </c>
      <c r="B116" t="n">
        <v>1</v>
      </c>
      <c r="C116" t="n">
        <v>35</v>
      </c>
      <c r="D116" s="6" t="n">
        <v>46035.70277777778</v>
      </c>
      <c r="E116" t="n">
        <v>149</v>
      </c>
      <c r="F116" t="inlineStr">
        <is>
          <t>UPI</t>
        </is>
      </c>
      <c r="G116" t="inlineStr">
        <is>
          <t>captured</t>
        </is>
      </c>
      <c r="H116" t="n">
        <v>59</v>
      </c>
      <c r="I116">
        <f>IFERROR(VLOOKUP(C116,Merchants!$A$2:$D$41,2,FALSE),"Merchant not found")</f>
        <v/>
      </c>
      <c r="J116">
        <f>IFERROR(VLOOKUP(C116,Merchants!$A$2:$D$41,3,FALSE),"Merchant not found")</f>
        <v/>
      </c>
      <c r="K116">
        <f>IFERROR(VLOOKUP(C116,Merchants!$A$2:$D$41,4,FALSE),"Merchant not found")</f>
        <v/>
      </c>
      <c r="L116" s="4">
        <f>HLOOKUP(F116,Fee_Tiers!$B$2:$E$3,2,FALSE)</f>
        <v/>
      </c>
      <c r="M116">
        <f>E116*L116</f>
        <v/>
      </c>
      <c r="N116" s="5" t="n">
        <v>46035</v>
      </c>
      <c r="O116">
        <f>C116&amp;"_"&amp;TEXT(N116,"yyyy-mm-dd")</f>
        <v/>
      </c>
      <c r="P116">
        <f>IFERROR(VLOOKUP(O116,Merchant_Day_Analysis!$A$5:$G$447,7,FALSE),"Not found")</f>
        <v/>
      </c>
    </row>
    <row r="117">
      <c r="A117" t="inlineStr">
        <is>
          <t>TXN100115</t>
        </is>
      </c>
      <c r="B117" t="n">
        <v>266</v>
      </c>
      <c r="C117" t="n">
        <v>24</v>
      </c>
      <c r="D117" s="6" t="n">
        <v>46036.05</v>
      </c>
      <c r="E117" t="n">
        <v>499</v>
      </c>
      <c r="F117" t="inlineStr">
        <is>
          <t>UPI</t>
        </is>
      </c>
      <c r="G117" t="inlineStr">
        <is>
          <t>captured</t>
        </is>
      </c>
      <c r="H117" t="n">
        <v>79</v>
      </c>
      <c r="I117">
        <f>IFERROR(VLOOKUP(C117,Merchants!$A$2:$D$41,2,FALSE),"Merchant not found")</f>
        <v/>
      </c>
      <c r="J117">
        <f>IFERROR(VLOOKUP(C117,Merchants!$A$2:$D$41,3,FALSE),"Merchant not found")</f>
        <v/>
      </c>
      <c r="K117">
        <f>IFERROR(VLOOKUP(C117,Merchants!$A$2:$D$41,4,FALSE),"Merchant not found")</f>
        <v/>
      </c>
      <c r="L117" s="4">
        <f>HLOOKUP(F117,Fee_Tiers!$B$2:$E$3,2,FALSE)</f>
        <v/>
      </c>
      <c r="M117">
        <f>E117*L117</f>
        <v/>
      </c>
      <c r="N117" s="5" t="n">
        <v>46036</v>
      </c>
      <c r="O117">
        <f>C117&amp;"_"&amp;TEXT(N117,"yyyy-mm-dd")</f>
        <v/>
      </c>
      <c r="P117">
        <f>IFERROR(VLOOKUP(O117,Merchant_Day_Analysis!$A$5:$G$447,7,FALSE),"Not found")</f>
        <v/>
      </c>
    </row>
    <row r="118">
      <c r="A118" t="inlineStr">
        <is>
          <t>TXN100116</t>
        </is>
      </c>
      <c r="B118" t="n">
        <v>227</v>
      </c>
      <c r="C118" t="n">
        <v>4</v>
      </c>
      <c r="D118" s="6" t="n">
        <v>46047.65277777778</v>
      </c>
      <c r="E118" t="n">
        <v>499</v>
      </c>
      <c r="F118" t="inlineStr">
        <is>
          <t>UPI</t>
        </is>
      </c>
      <c r="G118" t="inlineStr">
        <is>
          <t>captured</t>
        </is>
      </c>
      <c r="H118" t="n">
        <v>26</v>
      </c>
      <c r="I118">
        <f>IFERROR(VLOOKUP(C118,Merchants!$A$2:$D$41,2,FALSE),"Merchant not found")</f>
        <v/>
      </c>
      <c r="J118">
        <f>IFERROR(VLOOKUP(C118,Merchants!$A$2:$D$41,3,FALSE),"Merchant not found")</f>
        <v/>
      </c>
      <c r="K118">
        <f>IFERROR(VLOOKUP(C118,Merchants!$A$2:$D$41,4,FALSE),"Merchant not found")</f>
        <v/>
      </c>
      <c r="L118" s="4">
        <f>HLOOKUP(F118,Fee_Tiers!$B$2:$E$3,2,FALSE)</f>
        <v/>
      </c>
      <c r="M118">
        <f>E118*L118</f>
        <v/>
      </c>
      <c r="N118" s="5" t="n">
        <v>46047</v>
      </c>
      <c r="O118">
        <f>C118&amp;"_"&amp;TEXT(N118,"yyyy-mm-dd")</f>
        <v/>
      </c>
      <c r="P118">
        <f>IFERROR(VLOOKUP(O118,Merchant_Day_Analysis!$A$5:$G$447,7,FALSE),"Not found")</f>
        <v/>
      </c>
    </row>
    <row r="119">
      <c r="A119" t="inlineStr">
        <is>
          <t>TXN100117</t>
        </is>
      </c>
      <c r="B119" t="n">
        <v>148</v>
      </c>
      <c r="C119" t="n">
        <v>29</v>
      </c>
      <c r="D119" s="6" t="n">
        <v>46031.71388888889</v>
      </c>
      <c r="E119" t="n">
        <v>499</v>
      </c>
      <c r="F119" t="inlineStr">
        <is>
          <t>UPI</t>
        </is>
      </c>
      <c r="G119" t="inlineStr">
        <is>
          <t>captured</t>
        </is>
      </c>
      <c r="H119" t="n">
        <v>89</v>
      </c>
      <c r="I119">
        <f>IFERROR(VLOOKUP(C119,Merchants!$A$2:$D$41,2,FALSE),"Merchant not found")</f>
        <v/>
      </c>
      <c r="J119">
        <f>IFERROR(VLOOKUP(C119,Merchants!$A$2:$D$41,3,FALSE),"Merchant not found")</f>
        <v/>
      </c>
      <c r="K119">
        <f>IFERROR(VLOOKUP(C119,Merchants!$A$2:$D$41,4,FALSE),"Merchant not found")</f>
        <v/>
      </c>
      <c r="L119" s="4">
        <f>HLOOKUP(F119,Fee_Tiers!$B$2:$E$3,2,FALSE)</f>
        <v/>
      </c>
      <c r="M119">
        <f>E119*L119</f>
        <v/>
      </c>
      <c r="N119" s="5" t="n">
        <v>46031</v>
      </c>
      <c r="O119">
        <f>C119&amp;"_"&amp;TEXT(N119,"yyyy-mm-dd")</f>
        <v/>
      </c>
      <c r="P119">
        <f>IFERROR(VLOOKUP(O119,Merchant_Day_Analysis!$A$5:$G$447,7,FALSE),"Not found")</f>
        <v/>
      </c>
    </row>
    <row r="120">
      <c r="A120" t="inlineStr">
        <is>
          <t>TXN100118</t>
        </is>
      </c>
      <c r="B120" t="n">
        <v>323</v>
      </c>
      <c r="C120" t="n">
        <v>39</v>
      </c>
      <c r="D120" s="6" t="n">
        <v>46038.12569444445</v>
      </c>
      <c r="E120" t="n">
        <v>499</v>
      </c>
      <c r="F120" t="inlineStr">
        <is>
          <t>UPI</t>
        </is>
      </c>
      <c r="G120" t="inlineStr">
        <is>
          <t>captured</t>
        </is>
      </c>
      <c r="H120" t="n">
        <v>30</v>
      </c>
      <c r="I120">
        <f>IFERROR(VLOOKUP(C120,Merchants!$A$2:$D$41,2,FALSE),"Merchant not found")</f>
        <v/>
      </c>
      <c r="J120">
        <f>IFERROR(VLOOKUP(C120,Merchants!$A$2:$D$41,3,FALSE),"Merchant not found")</f>
        <v/>
      </c>
      <c r="K120">
        <f>IFERROR(VLOOKUP(C120,Merchants!$A$2:$D$41,4,FALSE),"Merchant not found")</f>
        <v/>
      </c>
      <c r="L120" s="4">
        <f>HLOOKUP(F120,Fee_Tiers!$B$2:$E$3,2,FALSE)</f>
        <v/>
      </c>
      <c r="M120">
        <f>E120*L120</f>
        <v/>
      </c>
      <c r="N120" s="5" t="n">
        <v>46038</v>
      </c>
      <c r="O120">
        <f>C120&amp;"_"&amp;TEXT(N120,"yyyy-mm-dd")</f>
        <v/>
      </c>
      <c r="P120">
        <f>IFERROR(VLOOKUP(O120,Merchant_Day_Analysis!$A$5:$G$447,7,FALSE),"Not found")</f>
        <v/>
      </c>
    </row>
    <row r="121">
      <c r="A121" t="inlineStr">
        <is>
          <t>TXN100119</t>
        </is>
      </c>
      <c r="B121" t="n">
        <v>283</v>
      </c>
      <c r="C121" t="n">
        <v>1</v>
      </c>
      <c r="D121" s="6" t="n">
        <v>46045.22152777778</v>
      </c>
      <c r="E121" t="n">
        <v>2999</v>
      </c>
      <c r="F121" t="inlineStr">
        <is>
          <t>Wallet</t>
        </is>
      </c>
      <c r="G121" t="inlineStr">
        <is>
          <t>captured</t>
        </is>
      </c>
      <c r="H121" t="n">
        <v>70</v>
      </c>
      <c r="I121">
        <f>IFERROR(VLOOKUP(C121,Merchants!$A$2:$D$41,2,FALSE),"Merchant not found")</f>
        <v/>
      </c>
      <c r="J121">
        <f>IFERROR(VLOOKUP(C121,Merchants!$A$2:$D$41,3,FALSE),"Merchant not found")</f>
        <v/>
      </c>
      <c r="K121">
        <f>IFERROR(VLOOKUP(C121,Merchants!$A$2:$D$41,4,FALSE),"Merchant not found")</f>
        <v/>
      </c>
      <c r="L121" s="4">
        <f>HLOOKUP(F121,Fee_Tiers!$B$2:$E$3,2,FALSE)</f>
        <v/>
      </c>
      <c r="M121">
        <f>E121*L121</f>
        <v/>
      </c>
      <c r="N121" s="5" t="n">
        <v>46045</v>
      </c>
      <c r="O121">
        <f>C121&amp;"_"&amp;TEXT(N121,"yyyy-mm-dd")</f>
        <v/>
      </c>
      <c r="P121">
        <f>IFERROR(VLOOKUP(O121,Merchant_Day_Analysis!$A$5:$G$447,7,FALSE),"Not found")</f>
        <v/>
      </c>
    </row>
    <row r="122">
      <c r="A122" t="inlineStr">
        <is>
          <t>TXN100120</t>
        </is>
      </c>
      <c r="B122" t="n">
        <v>59</v>
      </c>
      <c r="C122" t="n">
        <v>30</v>
      </c>
      <c r="D122" s="6" t="n">
        <v>46036.09305555555</v>
      </c>
      <c r="E122" t="n">
        <v>499</v>
      </c>
      <c r="F122" t="inlineStr">
        <is>
          <t>UPI</t>
        </is>
      </c>
      <c r="G122" t="inlineStr">
        <is>
          <t>captured</t>
        </is>
      </c>
      <c r="H122" t="n">
        <v>15</v>
      </c>
      <c r="I122">
        <f>IFERROR(VLOOKUP(C122,Merchants!$A$2:$D$41,2,FALSE),"Merchant not found")</f>
        <v/>
      </c>
      <c r="J122">
        <f>IFERROR(VLOOKUP(C122,Merchants!$A$2:$D$41,3,FALSE),"Merchant not found")</f>
        <v/>
      </c>
      <c r="K122">
        <f>IFERROR(VLOOKUP(C122,Merchants!$A$2:$D$41,4,FALSE),"Merchant not found")</f>
        <v/>
      </c>
      <c r="L122" s="4">
        <f>HLOOKUP(F122,Fee_Tiers!$B$2:$E$3,2,FALSE)</f>
        <v/>
      </c>
      <c r="M122">
        <f>E122*L122</f>
        <v/>
      </c>
      <c r="N122" s="5" t="n">
        <v>46036</v>
      </c>
      <c r="O122">
        <f>C122&amp;"_"&amp;TEXT(N122,"yyyy-mm-dd")</f>
        <v/>
      </c>
      <c r="P122">
        <f>IFERROR(VLOOKUP(O122,Merchant_Day_Analysis!$A$5:$G$447,7,FALSE),"Not found")</f>
        <v/>
      </c>
    </row>
    <row r="123">
      <c r="A123" t="inlineStr">
        <is>
          <t>TXN100121</t>
        </is>
      </c>
      <c r="B123" t="n">
        <v>150</v>
      </c>
      <c r="C123" t="n">
        <v>33</v>
      </c>
      <c r="D123" s="6" t="n">
        <v>46043.18819444445</v>
      </c>
      <c r="E123" t="n">
        <v>2999</v>
      </c>
      <c r="F123" t="inlineStr">
        <is>
          <t>UPI</t>
        </is>
      </c>
      <c r="G123" t="inlineStr">
        <is>
          <t>captured</t>
        </is>
      </c>
      <c r="H123" t="n">
        <v>90</v>
      </c>
      <c r="I123">
        <f>IFERROR(VLOOKUP(C123,Merchants!$A$2:$D$41,2,FALSE),"Merchant not found")</f>
        <v/>
      </c>
      <c r="J123">
        <f>IFERROR(VLOOKUP(C123,Merchants!$A$2:$D$41,3,FALSE),"Merchant not found")</f>
        <v/>
      </c>
      <c r="K123">
        <f>IFERROR(VLOOKUP(C123,Merchants!$A$2:$D$41,4,FALSE),"Merchant not found")</f>
        <v/>
      </c>
      <c r="L123" s="4">
        <f>HLOOKUP(F123,Fee_Tiers!$B$2:$E$3,2,FALSE)</f>
        <v/>
      </c>
      <c r="M123">
        <f>E123*L123</f>
        <v/>
      </c>
      <c r="N123" s="5" t="n">
        <v>46043</v>
      </c>
      <c r="O123">
        <f>C123&amp;"_"&amp;TEXT(N123,"yyyy-mm-dd")</f>
        <v/>
      </c>
      <c r="P123">
        <f>IFERROR(VLOOKUP(O123,Merchant_Day_Analysis!$A$5:$G$447,7,FALSE),"Not found")</f>
        <v/>
      </c>
    </row>
    <row r="124">
      <c r="A124" t="inlineStr">
        <is>
          <t>TXN100122</t>
        </is>
      </c>
      <c r="B124" t="n">
        <v>248</v>
      </c>
      <c r="C124" t="n">
        <v>31</v>
      </c>
      <c r="D124" s="6" t="n">
        <v>46031.57847222222</v>
      </c>
      <c r="E124" t="n">
        <v>1499</v>
      </c>
      <c r="F124" t="inlineStr">
        <is>
          <t>UPI</t>
        </is>
      </c>
      <c r="G124" t="inlineStr">
        <is>
          <t>failed</t>
        </is>
      </c>
      <c r="H124" t="n">
        <v>31</v>
      </c>
      <c r="I124">
        <f>IFERROR(VLOOKUP(C124,Merchants!$A$2:$D$41,2,FALSE),"Merchant not found")</f>
        <v/>
      </c>
      <c r="J124">
        <f>IFERROR(VLOOKUP(C124,Merchants!$A$2:$D$41,3,FALSE),"Merchant not found")</f>
        <v/>
      </c>
      <c r="K124">
        <f>IFERROR(VLOOKUP(C124,Merchants!$A$2:$D$41,4,FALSE),"Merchant not found")</f>
        <v/>
      </c>
      <c r="L124" s="4">
        <f>HLOOKUP(F124,Fee_Tiers!$B$2:$E$3,2,FALSE)</f>
        <v/>
      </c>
      <c r="M124">
        <f>E124*L124</f>
        <v/>
      </c>
      <c r="N124" s="5" t="n">
        <v>46031</v>
      </c>
      <c r="O124">
        <f>C124&amp;"_"&amp;TEXT(N124,"yyyy-mm-dd")</f>
        <v/>
      </c>
      <c r="P124">
        <f>IFERROR(VLOOKUP(O124,Merchant_Day_Analysis!$A$5:$G$447,7,FALSE),"Not found")</f>
        <v/>
      </c>
    </row>
    <row r="125">
      <c r="A125" t="inlineStr">
        <is>
          <t>TXN100123</t>
        </is>
      </c>
      <c r="B125" t="n">
        <v>197</v>
      </c>
      <c r="C125" t="n">
        <v>13</v>
      </c>
      <c r="D125" s="6" t="n">
        <v>46037.71458333333</v>
      </c>
      <c r="E125" t="n">
        <v>49</v>
      </c>
      <c r="F125" t="inlineStr">
        <is>
          <t>UPI</t>
        </is>
      </c>
      <c r="G125" t="inlineStr">
        <is>
          <t>captured</t>
        </is>
      </c>
      <c r="H125" t="n">
        <v>76</v>
      </c>
      <c r="I125">
        <f>IFERROR(VLOOKUP(C125,Merchants!$A$2:$D$41,2,FALSE),"Merchant not found")</f>
        <v/>
      </c>
      <c r="J125">
        <f>IFERROR(VLOOKUP(C125,Merchants!$A$2:$D$41,3,FALSE),"Merchant not found")</f>
        <v/>
      </c>
      <c r="K125">
        <f>IFERROR(VLOOKUP(C125,Merchants!$A$2:$D$41,4,FALSE),"Merchant not found")</f>
        <v/>
      </c>
      <c r="L125" s="4">
        <f>HLOOKUP(F125,Fee_Tiers!$B$2:$E$3,2,FALSE)</f>
        <v/>
      </c>
      <c r="M125">
        <f>E125*L125</f>
        <v/>
      </c>
      <c r="N125" s="5" t="n">
        <v>46037</v>
      </c>
      <c r="O125">
        <f>C125&amp;"_"&amp;TEXT(N125,"yyyy-mm-dd")</f>
        <v/>
      </c>
      <c r="P125">
        <f>IFERROR(VLOOKUP(O125,Merchant_Day_Analysis!$A$5:$G$447,7,FALSE),"Not found")</f>
        <v/>
      </c>
    </row>
    <row r="126">
      <c r="A126" t="inlineStr">
        <is>
          <t>TXN100124</t>
        </is>
      </c>
      <c r="B126" t="n">
        <v>70</v>
      </c>
      <c r="C126" t="n">
        <v>5</v>
      </c>
      <c r="D126" s="6" t="n">
        <v>46039.99722222222</v>
      </c>
      <c r="E126" t="n">
        <v>499</v>
      </c>
      <c r="F126" t="inlineStr">
        <is>
          <t>UPI</t>
        </is>
      </c>
      <c r="G126" t="inlineStr">
        <is>
          <t>captured</t>
        </is>
      </c>
      <c r="H126" t="n">
        <v>35</v>
      </c>
      <c r="I126">
        <f>IFERROR(VLOOKUP(C126,Merchants!$A$2:$D$41,2,FALSE),"Merchant not found")</f>
        <v/>
      </c>
      <c r="J126">
        <f>IFERROR(VLOOKUP(C126,Merchants!$A$2:$D$41,3,FALSE),"Merchant not found")</f>
        <v/>
      </c>
      <c r="K126">
        <f>IFERROR(VLOOKUP(C126,Merchants!$A$2:$D$41,4,FALSE),"Merchant not found")</f>
        <v/>
      </c>
      <c r="L126" s="4">
        <f>HLOOKUP(F126,Fee_Tiers!$B$2:$E$3,2,FALSE)</f>
        <v/>
      </c>
      <c r="M126">
        <f>E126*L126</f>
        <v/>
      </c>
      <c r="N126" s="5" t="n">
        <v>46039</v>
      </c>
      <c r="O126">
        <f>C126&amp;"_"&amp;TEXT(N126,"yyyy-mm-dd")</f>
        <v/>
      </c>
      <c r="P126">
        <f>IFERROR(VLOOKUP(O126,Merchant_Day_Analysis!$A$5:$G$447,7,FALSE),"Not found")</f>
        <v/>
      </c>
    </row>
    <row r="127">
      <c r="A127" t="inlineStr">
        <is>
          <t>TXN100125</t>
        </is>
      </c>
      <c r="B127" t="n">
        <v>260</v>
      </c>
      <c r="C127" t="n">
        <v>18</v>
      </c>
      <c r="D127" s="6" t="n">
        <v>46047.55625</v>
      </c>
      <c r="E127" t="n">
        <v>1499</v>
      </c>
      <c r="F127" t="inlineStr">
        <is>
          <t>UPI</t>
        </is>
      </c>
      <c r="G127" t="inlineStr">
        <is>
          <t>captured</t>
        </is>
      </c>
      <c r="H127" t="n">
        <v>0</v>
      </c>
      <c r="I127">
        <f>IFERROR(VLOOKUP(C127,Merchants!$A$2:$D$41,2,FALSE),"Merchant not found")</f>
        <v/>
      </c>
      <c r="J127">
        <f>IFERROR(VLOOKUP(C127,Merchants!$A$2:$D$41,3,FALSE),"Merchant not found")</f>
        <v/>
      </c>
      <c r="K127">
        <f>IFERROR(VLOOKUP(C127,Merchants!$A$2:$D$41,4,FALSE),"Merchant not found")</f>
        <v/>
      </c>
      <c r="L127" s="4">
        <f>HLOOKUP(F127,Fee_Tiers!$B$2:$E$3,2,FALSE)</f>
        <v/>
      </c>
      <c r="M127">
        <f>E127*L127</f>
        <v/>
      </c>
      <c r="N127" s="5" t="n">
        <v>46047</v>
      </c>
      <c r="O127">
        <f>C127&amp;"_"&amp;TEXT(N127,"yyyy-mm-dd")</f>
        <v/>
      </c>
      <c r="P127">
        <f>IFERROR(VLOOKUP(O127,Merchant_Day_Analysis!$A$5:$G$447,7,FALSE),"Not found")</f>
        <v/>
      </c>
    </row>
    <row r="128">
      <c r="A128" t="inlineStr">
        <is>
          <t>TXN100126</t>
        </is>
      </c>
      <c r="B128" t="n">
        <v>301</v>
      </c>
      <c r="C128" t="n">
        <v>38</v>
      </c>
      <c r="D128" s="6" t="n">
        <v>46032.97152777778</v>
      </c>
      <c r="E128" t="n">
        <v>99</v>
      </c>
      <c r="F128" t="inlineStr">
        <is>
          <t>UPI</t>
        </is>
      </c>
      <c r="G128" t="inlineStr">
        <is>
          <t>captured</t>
        </is>
      </c>
      <c r="H128" t="n">
        <v>84</v>
      </c>
      <c r="I128">
        <f>IFERROR(VLOOKUP(C128,Merchants!$A$2:$D$41,2,FALSE),"Merchant not found")</f>
        <v/>
      </c>
      <c r="J128">
        <f>IFERROR(VLOOKUP(C128,Merchants!$A$2:$D$41,3,FALSE),"Merchant not found")</f>
        <v/>
      </c>
      <c r="K128">
        <f>IFERROR(VLOOKUP(C128,Merchants!$A$2:$D$41,4,FALSE),"Merchant not found")</f>
        <v/>
      </c>
      <c r="L128" s="4">
        <f>HLOOKUP(F128,Fee_Tiers!$B$2:$E$3,2,FALSE)</f>
        <v/>
      </c>
      <c r="M128">
        <f>E128*L128</f>
        <v/>
      </c>
      <c r="N128" s="5" t="n">
        <v>46032</v>
      </c>
      <c r="O128">
        <f>C128&amp;"_"&amp;TEXT(N128,"yyyy-mm-dd")</f>
        <v/>
      </c>
      <c r="P128">
        <f>IFERROR(VLOOKUP(O128,Merchant_Day_Analysis!$A$5:$G$447,7,FALSE),"Not found")</f>
        <v/>
      </c>
    </row>
    <row r="129">
      <c r="A129" t="inlineStr">
        <is>
          <t>TXN100127</t>
        </is>
      </c>
      <c r="B129" t="n">
        <v>276</v>
      </c>
      <c r="C129" t="n">
        <v>31</v>
      </c>
      <c r="D129" s="6" t="n">
        <v>46038.18611111111</v>
      </c>
      <c r="E129" t="n">
        <v>499</v>
      </c>
      <c r="F129" t="inlineStr">
        <is>
          <t>Card</t>
        </is>
      </c>
      <c r="G129" t="inlineStr">
        <is>
          <t>captured</t>
        </is>
      </c>
      <c r="H129" t="n">
        <v>44</v>
      </c>
      <c r="I129">
        <f>IFERROR(VLOOKUP(C129,Merchants!$A$2:$D$41,2,FALSE),"Merchant not found")</f>
        <v/>
      </c>
      <c r="J129">
        <f>IFERROR(VLOOKUP(C129,Merchants!$A$2:$D$41,3,FALSE),"Merchant not found")</f>
        <v/>
      </c>
      <c r="K129">
        <f>IFERROR(VLOOKUP(C129,Merchants!$A$2:$D$41,4,FALSE),"Merchant not found")</f>
        <v/>
      </c>
      <c r="L129" s="4">
        <f>HLOOKUP(F129,Fee_Tiers!$B$2:$E$3,2,FALSE)</f>
        <v/>
      </c>
      <c r="M129">
        <f>E129*L129</f>
        <v/>
      </c>
      <c r="N129" s="5" t="n">
        <v>46038</v>
      </c>
      <c r="O129">
        <f>C129&amp;"_"&amp;TEXT(N129,"yyyy-mm-dd")</f>
        <v/>
      </c>
      <c r="P129">
        <f>IFERROR(VLOOKUP(O129,Merchant_Day_Analysis!$A$5:$G$447,7,FALSE),"Not found")</f>
        <v/>
      </c>
    </row>
    <row r="130">
      <c r="A130" t="inlineStr">
        <is>
          <t>TXN100128</t>
        </is>
      </c>
      <c r="B130" t="n">
        <v>279</v>
      </c>
      <c r="C130" t="n">
        <v>25</v>
      </c>
      <c r="D130" s="6" t="n">
        <v>46033.74166666667</v>
      </c>
      <c r="E130" t="n">
        <v>799</v>
      </c>
      <c r="F130" t="inlineStr">
        <is>
          <t>UPI</t>
        </is>
      </c>
      <c r="G130" t="inlineStr">
        <is>
          <t>captured</t>
        </is>
      </c>
      <c r="H130" t="n">
        <v>58</v>
      </c>
      <c r="I130">
        <f>IFERROR(VLOOKUP(C130,Merchants!$A$2:$D$41,2,FALSE),"Merchant not found")</f>
        <v/>
      </c>
      <c r="J130">
        <f>IFERROR(VLOOKUP(C130,Merchants!$A$2:$D$41,3,FALSE),"Merchant not found")</f>
        <v/>
      </c>
      <c r="K130">
        <f>IFERROR(VLOOKUP(C130,Merchants!$A$2:$D$41,4,FALSE),"Merchant not found")</f>
        <v/>
      </c>
      <c r="L130" s="4">
        <f>HLOOKUP(F130,Fee_Tiers!$B$2:$E$3,2,FALSE)</f>
        <v/>
      </c>
      <c r="M130">
        <f>E130*L130</f>
        <v/>
      </c>
      <c r="N130" s="5" t="n">
        <v>46033</v>
      </c>
      <c r="O130">
        <f>C130&amp;"_"&amp;TEXT(N130,"yyyy-mm-dd")</f>
        <v/>
      </c>
      <c r="P130">
        <f>IFERROR(VLOOKUP(O130,Merchant_Day_Analysis!$A$5:$G$447,7,FALSE),"Not found")</f>
        <v/>
      </c>
    </row>
    <row r="131">
      <c r="A131" t="inlineStr">
        <is>
          <t>TXN100129</t>
        </is>
      </c>
      <c r="B131" t="n">
        <v>97</v>
      </c>
      <c r="C131" t="n">
        <v>16</v>
      </c>
      <c r="D131" s="6" t="n">
        <v>46052.45486111111</v>
      </c>
      <c r="E131" t="n">
        <v>799</v>
      </c>
      <c r="F131" t="inlineStr">
        <is>
          <t>Card</t>
        </is>
      </c>
      <c r="G131" t="inlineStr">
        <is>
          <t>captured</t>
        </is>
      </c>
      <c r="H131" t="n">
        <v>73</v>
      </c>
      <c r="I131">
        <f>IFERROR(VLOOKUP(C131,Merchants!$A$2:$D$41,2,FALSE),"Merchant not found")</f>
        <v/>
      </c>
      <c r="J131">
        <f>IFERROR(VLOOKUP(C131,Merchants!$A$2:$D$41,3,FALSE),"Merchant not found")</f>
        <v/>
      </c>
      <c r="K131">
        <f>IFERROR(VLOOKUP(C131,Merchants!$A$2:$D$41,4,FALSE),"Merchant not found")</f>
        <v/>
      </c>
      <c r="L131" s="4">
        <f>HLOOKUP(F131,Fee_Tiers!$B$2:$E$3,2,FALSE)</f>
        <v/>
      </c>
      <c r="M131">
        <f>E131*L131</f>
        <v/>
      </c>
      <c r="N131" s="5" t="n">
        <v>46052</v>
      </c>
      <c r="O131">
        <f>C131&amp;"_"&amp;TEXT(N131,"yyyy-mm-dd")</f>
        <v/>
      </c>
      <c r="P131">
        <f>IFERROR(VLOOKUP(O131,Merchant_Day_Analysis!$A$5:$G$447,7,FALSE),"Not found")</f>
        <v/>
      </c>
    </row>
    <row r="132">
      <c r="A132" t="inlineStr">
        <is>
          <t>TXN100130</t>
        </is>
      </c>
      <c r="B132" t="n">
        <v>211</v>
      </c>
      <c r="C132" t="n">
        <v>3</v>
      </c>
      <c r="D132" s="6" t="n">
        <v>46035.32916666667</v>
      </c>
      <c r="E132" t="n">
        <v>149</v>
      </c>
      <c r="F132" t="inlineStr">
        <is>
          <t>UPI</t>
        </is>
      </c>
      <c r="G132" t="inlineStr">
        <is>
          <t>chargeback</t>
        </is>
      </c>
      <c r="H132" t="n">
        <v>40</v>
      </c>
      <c r="I132">
        <f>IFERROR(VLOOKUP(C132,Merchants!$A$2:$D$41,2,FALSE),"Merchant not found")</f>
        <v/>
      </c>
      <c r="J132">
        <f>IFERROR(VLOOKUP(C132,Merchants!$A$2:$D$41,3,FALSE),"Merchant not found")</f>
        <v/>
      </c>
      <c r="K132">
        <f>IFERROR(VLOOKUP(C132,Merchants!$A$2:$D$41,4,FALSE),"Merchant not found")</f>
        <v/>
      </c>
      <c r="L132" s="4">
        <f>HLOOKUP(F132,Fee_Tiers!$B$2:$E$3,2,FALSE)</f>
        <v/>
      </c>
      <c r="M132">
        <f>E132*L132</f>
        <v/>
      </c>
      <c r="N132" s="5" t="n">
        <v>46035</v>
      </c>
      <c r="O132">
        <f>C132&amp;"_"&amp;TEXT(N132,"yyyy-mm-dd")</f>
        <v/>
      </c>
      <c r="P132">
        <f>IFERROR(VLOOKUP(O132,Merchant_Day_Analysis!$A$5:$G$447,7,FALSE),"Not found")</f>
        <v/>
      </c>
    </row>
    <row r="133">
      <c r="A133" t="inlineStr">
        <is>
          <t>TXN100131</t>
        </is>
      </c>
      <c r="B133" t="n">
        <v>196</v>
      </c>
      <c r="C133" t="n">
        <v>25</v>
      </c>
      <c r="D133" s="6" t="n">
        <v>46046.65625</v>
      </c>
      <c r="E133" t="n">
        <v>149</v>
      </c>
      <c r="F133" t="inlineStr">
        <is>
          <t>Netbanking</t>
        </is>
      </c>
      <c r="G133" t="inlineStr">
        <is>
          <t>captured</t>
        </is>
      </c>
      <c r="H133" t="n">
        <v>84</v>
      </c>
      <c r="I133">
        <f>IFERROR(VLOOKUP(C133,Merchants!$A$2:$D$41,2,FALSE),"Merchant not found")</f>
        <v/>
      </c>
      <c r="J133">
        <f>IFERROR(VLOOKUP(C133,Merchants!$A$2:$D$41,3,FALSE),"Merchant not found")</f>
        <v/>
      </c>
      <c r="K133">
        <f>IFERROR(VLOOKUP(C133,Merchants!$A$2:$D$41,4,FALSE),"Merchant not found")</f>
        <v/>
      </c>
      <c r="L133" s="4">
        <f>HLOOKUP(F133,Fee_Tiers!$B$2:$E$3,2,FALSE)</f>
        <v/>
      </c>
      <c r="M133">
        <f>E133*L133</f>
        <v/>
      </c>
      <c r="N133" s="5" t="n">
        <v>46046</v>
      </c>
      <c r="O133">
        <f>C133&amp;"_"&amp;TEXT(N133,"yyyy-mm-dd")</f>
        <v/>
      </c>
      <c r="P133">
        <f>IFERROR(VLOOKUP(O133,Merchant_Day_Analysis!$A$5:$G$447,7,FALSE),"Not found")</f>
        <v/>
      </c>
    </row>
    <row r="134">
      <c r="A134" t="inlineStr">
        <is>
          <t>TXN100132</t>
        </is>
      </c>
      <c r="B134" t="n">
        <v>254</v>
      </c>
      <c r="C134" t="n">
        <v>3</v>
      </c>
      <c r="D134" s="6" t="n">
        <v>46048.83958333333</v>
      </c>
      <c r="E134" t="n">
        <v>149</v>
      </c>
      <c r="F134" t="inlineStr">
        <is>
          <t>Card</t>
        </is>
      </c>
      <c r="G134" t="inlineStr">
        <is>
          <t>captured</t>
        </is>
      </c>
      <c r="H134" t="n">
        <v>16</v>
      </c>
      <c r="I134">
        <f>IFERROR(VLOOKUP(C134,Merchants!$A$2:$D$41,2,FALSE),"Merchant not found")</f>
        <v/>
      </c>
      <c r="J134">
        <f>IFERROR(VLOOKUP(C134,Merchants!$A$2:$D$41,3,FALSE),"Merchant not found")</f>
        <v/>
      </c>
      <c r="K134">
        <f>IFERROR(VLOOKUP(C134,Merchants!$A$2:$D$41,4,FALSE),"Merchant not found")</f>
        <v/>
      </c>
      <c r="L134" s="4">
        <f>HLOOKUP(F134,Fee_Tiers!$B$2:$E$3,2,FALSE)</f>
        <v/>
      </c>
      <c r="M134">
        <f>E134*L134</f>
        <v/>
      </c>
      <c r="N134" s="5" t="n">
        <v>46048</v>
      </c>
      <c r="O134">
        <f>C134&amp;"_"&amp;TEXT(N134,"yyyy-mm-dd")</f>
        <v/>
      </c>
      <c r="P134">
        <f>IFERROR(VLOOKUP(O134,Merchant_Day_Analysis!$A$5:$G$447,7,FALSE),"Not found")</f>
        <v/>
      </c>
    </row>
    <row r="135">
      <c r="A135" t="inlineStr">
        <is>
          <t>TXN100133</t>
        </is>
      </c>
      <c r="B135" t="n">
        <v>52</v>
      </c>
      <c r="C135" t="n">
        <v>29</v>
      </c>
      <c r="D135" s="6" t="n">
        <v>46039.76458333333</v>
      </c>
      <c r="E135" t="n">
        <v>49</v>
      </c>
      <c r="F135" t="inlineStr">
        <is>
          <t>Netbanking</t>
        </is>
      </c>
      <c r="G135" t="inlineStr">
        <is>
          <t>captured</t>
        </is>
      </c>
      <c r="H135" t="n">
        <v>12</v>
      </c>
      <c r="I135">
        <f>IFERROR(VLOOKUP(C135,Merchants!$A$2:$D$41,2,FALSE),"Merchant not found")</f>
        <v/>
      </c>
      <c r="J135">
        <f>IFERROR(VLOOKUP(C135,Merchants!$A$2:$D$41,3,FALSE),"Merchant not found")</f>
        <v/>
      </c>
      <c r="K135">
        <f>IFERROR(VLOOKUP(C135,Merchants!$A$2:$D$41,4,FALSE),"Merchant not found")</f>
        <v/>
      </c>
      <c r="L135" s="4">
        <f>HLOOKUP(F135,Fee_Tiers!$B$2:$E$3,2,FALSE)</f>
        <v/>
      </c>
      <c r="M135">
        <f>E135*L135</f>
        <v/>
      </c>
      <c r="N135" s="5" t="n">
        <v>46039</v>
      </c>
      <c r="O135">
        <f>C135&amp;"_"&amp;TEXT(N135,"yyyy-mm-dd")</f>
        <v/>
      </c>
      <c r="P135">
        <f>IFERROR(VLOOKUP(O135,Merchant_Day_Analysis!$A$5:$G$447,7,FALSE),"Not found")</f>
        <v/>
      </c>
    </row>
    <row r="136">
      <c r="A136" t="inlineStr">
        <is>
          <t>TXN100134</t>
        </is>
      </c>
      <c r="B136" t="n">
        <v>74</v>
      </c>
      <c r="C136" t="n">
        <v>27</v>
      </c>
      <c r="D136" s="6" t="n">
        <v>46039.58333333334</v>
      </c>
      <c r="E136" t="n">
        <v>799</v>
      </c>
      <c r="F136" t="inlineStr">
        <is>
          <t>UPI</t>
        </is>
      </c>
      <c r="G136" t="inlineStr">
        <is>
          <t>captured</t>
        </is>
      </c>
      <c r="H136" t="n">
        <v>83</v>
      </c>
      <c r="I136">
        <f>IFERROR(VLOOKUP(C136,Merchants!$A$2:$D$41,2,FALSE),"Merchant not found")</f>
        <v/>
      </c>
      <c r="J136">
        <f>IFERROR(VLOOKUP(C136,Merchants!$A$2:$D$41,3,FALSE),"Merchant not found")</f>
        <v/>
      </c>
      <c r="K136">
        <f>IFERROR(VLOOKUP(C136,Merchants!$A$2:$D$41,4,FALSE),"Merchant not found")</f>
        <v/>
      </c>
      <c r="L136" s="4">
        <f>HLOOKUP(F136,Fee_Tiers!$B$2:$E$3,2,FALSE)</f>
        <v/>
      </c>
      <c r="M136">
        <f>E136*L136</f>
        <v/>
      </c>
      <c r="N136" s="5" t="n">
        <v>46039</v>
      </c>
      <c r="O136">
        <f>C136&amp;"_"&amp;TEXT(N136,"yyyy-mm-dd")</f>
        <v/>
      </c>
      <c r="P136">
        <f>IFERROR(VLOOKUP(O136,Merchant_Day_Analysis!$A$5:$G$447,7,FALSE),"Not found")</f>
        <v/>
      </c>
    </row>
    <row r="137">
      <c r="A137" t="inlineStr">
        <is>
          <t>TXN100135</t>
        </is>
      </c>
      <c r="B137" t="n">
        <v>136</v>
      </c>
      <c r="C137" t="n">
        <v>22</v>
      </c>
      <c r="D137" s="6" t="n">
        <v>46027.10416666666</v>
      </c>
      <c r="E137" t="n">
        <v>149</v>
      </c>
      <c r="F137" t="inlineStr">
        <is>
          <t>UPI</t>
        </is>
      </c>
      <c r="G137" t="inlineStr">
        <is>
          <t>captured</t>
        </is>
      </c>
      <c r="H137" t="n">
        <v>79</v>
      </c>
      <c r="I137">
        <f>IFERROR(VLOOKUP(C137,Merchants!$A$2:$D$41,2,FALSE),"Merchant not found")</f>
        <v/>
      </c>
      <c r="J137">
        <f>IFERROR(VLOOKUP(C137,Merchants!$A$2:$D$41,3,FALSE),"Merchant not found")</f>
        <v/>
      </c>
      <c r="K137">
        <f>IFERROR(VLOOKUP(C137,Merchants!$A$2:$D$41,4,FALSE),"Merchant not found")</f>
        <v/>
      </c>
      <c r="L137" s="4">
        <f>HLOOKUP(F137,Fee_Tiers!$B$2:$E$3,2,FALSE)</f>
        <v/>
      </c>
      <c r="M137">
        <f>E137*L137</f>
        <v/>
      </c>
      <c r="N137" s="5" t="n">
        <v>46027</v>
      </c>
      <c r="O137">
        <f>C137&amp;"_"&amp;TEXT(N137,"yyyy-mm-dd")</f>
        <v/>
      </c>
      <c r="P137">
        <f>IFERROR(VLOOKUP(O137,Merchant_Day_Analysis!$A$5:$G$447,7,FALSE),"Not found")</f>
        <v/>
      </c>
    </row>
    <row r="138">
      <c r="A138" t="inlineStr">
        <is>
          <t>TXN100136</t>
        </is>
      </c>
      <c r="B138" t="n">
        <v>42</v>
      </c>
      <c r="C138" t="n">
        <v>22</v>
      </c>
      <c r="D138" s="6" t="n">
        <v>46045.52847222222</v>
      </c>
      <c r="E138" t="n">
        <v>49</v>
      </c>
      <c r="F138" t="inlineStr">
        <is>
          <t>UPI</t>
        </is>
      </c>
      <c r="G138" t="inlineStr">
        <is>
          <t>captured</t>
        </is>
      </c>
      <c r="H138" t="n">
        <v>86</v>
      </c>
      <c r="I138">
        <f>IFERROR(VLOOKUP(C138,Merchants!$A$2:$D$41,2,FALSE),"Merchant not found")</f>
        <v/>
      </c>
      <c r="J138">
        <f>IFERROR(VLOOKUP(C138,Merchants!$A$2:$D$41,3,FALSE),"Merchant not found")</f>
        <v/>
      </c>
      <c r="K138">
        <f>IFERROR(VLOOKUP(C138,Merchants!$A$2:$D$41,4,FALSE),"Merchant not found")</f>
        <v/>
      </c>
      <c r="L138" s="4">
        <f>HLOOKUP(F138,Fee_Tiers!$B$2:$E$3,2,FALSE)</f>
        <v/>
      </c>
      <c r="M138">
        <f>E138*L138</f>
        <v/>
      </c>
      <c r="N138" s="5" t="n">
        <v>46045</v>
      </c>
      <c r="O138">
        <f>C138&amp;"_"&amp;TEXT(N138,"yyyy-mm-dd")</f>
        <v/>
      </c>
      <c r="P138">
        <f>IFERROR(VLOOKUP(O138,Merchant_Day_Analysis!$A$5:$G$447,7,FALSE),"Not found")</f>
        <v/>
      </c>
    </row>
    <row r="139">
      <c r="A139" t="inlineStr">
        <is>
          <t>TXN100137</t>
        </is>
      </c>
      <c r="B139" t="n">
        <v>163</v>
      </c>
      <c r="C139" t="n">
        <v>32</v>
      </c>
      <c r="D139" s="6" t="n">
        <v>46050.725</v>
      </c>
      <c r="E139" t="n">
        <v>2999</v>
      </c>
      <c r="F139" t="inlineStr">
        <is>
          <t>Wallet</t>
        </is>
      </c>
      <c r="G139" t="inlineStr">
        <is>
          <t>failed</t>
        </is>
      </c>
      <c r="H139" t="n">
        <v>69</v>
      </c>
      <c r="I139">
        <f>IFERROR(VLOOKUP(C139,Merchants!$A$2:$D$41,2,FALSE),"Merchant not found")</f>
        <v/>
      </c>
      <c r="J139">
        <f>IFERROR(VLOOKUP(C139,Merchants!$A$2:$D$41,3,FALSE),"Merchant not found")</f>
        <v/>
      </c>
      <c r="K139">
        <f>IFERROR(VLOOKUP(C139,Merchants!$A$2:$D$41,4,FALSE),"Merchant not found")</f>
        <v/>
      </c>
      <c r="L139" s="4">
        <f>HLOOKUP(F139,Fee_Tiers!$B$2:$E$3,2,FALSE)</f>
        <v/>
      </c>
      <c r="M139">
        <f>E139*L139</f>
        <v/>
      </c>
      <c r="N139" s="5" t="n">
        <v>46050</v>
      </c>
      <c r="O139">
        <f>C139&amp;"_"&amp;TEXT(N139,"yyyy-mm-dd")</f>
        <v/>
      </c>
      <c r="P139">
        <f>IFERROR(VLOOKUP(O139,Merchant_Day_Analysis!$A$5:$G$447,7,FALSE),"Not found")</f>
        <v/>
      </c>
    </row>
    <row r="140">
      <c r="A140" t="inlineStr">
        <is>
          <t>TXN100138</t>
        </is>
      </c>
      <c r="B140" t="n">
        <v>121</v>
      </c>
      <c r="C140" t="n">
        <v>19</v>
      </c>
      <c r="D140" s="6" t="n">
        <v>46024.79444444444</v>
      </c>
      <c r="E140" t="n">
        <v>149</v>
      </c>
      <c r="F140" t="inlineStr">
        <is>
          <t>UPI</t>
        </is>
      </c>
      <c r="G140" t="inlineStr">
        <is>
          <t>captured</t>
        </is>
      </c>
      <c r="H140" t="n">
        <v>29</v>
      </c>
      <c r="I140">
        <f>IFERROR(VLOOKUP(C140,Merchants!$A$2:$D$41,2,FALSE),"Merchant not found")</f>
        <v/>
      </c>
      <c r="J140">
        <f>IFERROR(VLOOKUP(C140,Merchants!$A$2:$D$41,3,FALSE),"Merchant not found")</f>
        <v/>
      </c>
      <c r="K140">
        <f>IFERROR(VLOOKUP(C140,Merchants!$A$2:$D$41,4,FALSE),"Merchant not found")</f>
        <v/>
      </c>
      <c r="L140" s="4">
        <f>HLOOKUP(F140,Fee_Tiers!$B$2:$E$3,2,FALSE)</f>
        <v/>
      </c>
      <c r="M140">
        <f>E140*L140</f>
        <v/>
      </c>
      <c r="N140" s="5" t="n">
        <v>46024</v>
      </c>
      <c r="O140">
        <f>C140&amp;"_"&amp;TEXT(N140,"yyyy-mm-dd")</f>
        <v/>
      </c>
      <c r="P140">
        <f>IFERROR(VLOOKUP(O140,Merchant_Day_Analysis!$A$5:$G$447,7,FALSE),"Not found")</f>
        <v/>
      </c>
    </row>
    <row r="141">
      <c r="A141" t="inlineStr">
        <is>
          <t>TXN100139</t>
        </is>
      </c>
      <c r="B141" t="n">
        <v>51</v>
      </c>
      <c r="C141" t="n">
        <v>7</v>
      </c>
      <c r="D141" s="6" t="n">
        <v>46046.10208333333</v>
      </c>
      <c r="E141" t="n">
        <v>499</v>
      </c>
      <c r="F141" t="inlineStr">
        <is>
          <t>Card</t>
        </is>
      </c>
      <c r="G141" t="inlineStr">
        <is>
          <t>captured</t>
        </is>
      </c>
      <c r="H141" t="n">
        <v>56</v>
      </c>
      <c r="I141">
        <f>IFERROR(VLOOKUP(C141,Merchants!$A$2:$D$41,2,FALSE),"Merchant not found")</f>
        <v/>
      </c>
      <c r="J141">
        <f>IFERROR(VLOOKUP(C141,Merchants!$A$2:$D$41,3,FALSE),"Merchant not found")</f>
        <v/>
      </c>
      <c r="K141">
        <f>IFERROR(VLOOKUP(C141,Merchants!$A$2:$D$41,4,FALSE),"Merchant not found")</f>
        <v/>
      </c>
      <c r="L141" s="4">
        <f>HLOOKUP(F141,Fee_Tiers!$B$2:$E$3,2,FALSE)</f>
        <v/>
      </c>
      <c r="M141">
        <f>E141*L141</f>
        <v/>
      </c>
      <c r="N141" s="5" t="n">
        <v>46046</v>
      </c>
      <c r="O141">
        <f>C141&amp;"_"&amp;TEXT(N141,"yyyy-mm-dd")</f>
        <v/>
      </c>
      <c r="P141">
        <f>IFERROR(VLOOKUP(O141,Merchant_Day_Analysis!$A$5:$G$447,7,FALSE),"Not found")</f>
        <v/>
      </c>
    </row>
    <row r="142">
      <c r="A142" t="inlineStr">
        <is>
          <t>TXN100140</t>
        </is>
      </c>
      <c r="B142" t="n">
        <v>15</v>
      </c>
      <c r="C142" t="n">
        <v>3</v>
      </c>
      <c r="D142" s="6" t="n">
        <v>46028.92986111111</v>
      </c>
      <c r="E142" t="n">
        <v>799</v>
      </c>
      <c r="F142" t="inlineStr">
        <is>
          <t>UPI</t>
        </is>
      </c>
      <c r="G142" t="inlineStr">
        <is>
          <t>captured</t>
        </is>
      </c>
      <c r="H142" t="n">
        <v>41</v>
      </c>
      <c r="I142">
        <f>IFERROR(VLOOKUP(C142,Merchants!$A$2:$D$41,2,FALSE),"Merchant not found")</f>
        <v/>
      </c>
      <c r="J142">
        <f>IFERROR(VLOOKUP(C142,Merchants!$A$2:$D$41,3,FALSE),"Merchant not found")</f>
        <v/>
      </c>
      <c r="K142">
        <f>IFERROR(VLOOKUP(C142,Merchants!$A$2:$D$41,4,FALSE),"Merchant not found")</f>
        <v/>
      </c>
      <c r="L142" s="4">
        <f>HLOOKUP(F142,Fee_Tiers!$B$2:$E$3,2,FALSE)</f>
        <v/>
      </c>
      <c r="M142">
        <f>E142*L142</f>
        <v/>
      </c>
      <c r="N142" s="5" t="n">
        <v>46028</v>
      </c>
      <c r="O142">
        <f>C142&amp;"_"&amp;TEXT(N142,"yyyy-mm-dd")</f>
        <v/>
      </c>
      <c r="P142">
        <f>IFERROR(VLOOKUP(O142,Merchant_Day_Analysis!$A$5:$G$447,7,FALSE),"Not found")</f>
        <v/>
      </c>
    </row>
    <row r="143">
      <c r="A143" t="inlineStr">
        <is>
          <t>TXN100141</t>
        </is>
      </c>
      <c r="B143" t="n">
        <v>184</v>
      </c>
      <c r="C143" t="n">
        <v>24</v>
      </c>
      <c r="D143" s="6" t="n">
        <v>46048.05416666667</v>
      </c>
      <c r="E143" t="n">
        <v>49</v>
      </c>
      <c r="F143" t="inlineStr">
        <is>
          <t>UPI</t>
        </is>
      </c>
      <c r="G143" t="inlineStr">
        <is>
          <t>captured</t>
        </is>
      </c>
      <c r="H143" t="n">
        <v>55</v>
      </c>
      <c r="I143">
        <f>IFERROR(VLOOKUP(C143,Merchants!$A$2:$D$41,2,FALSE),"Merchant not found")</f>
        <v/>
      </c>
      <c r="J143">
        <f>IFERROR(VLOOKUP(C143,Merchants!$A$2:$D$41,3,FALSE),"Merchant not found")</f>
        <v/>
      </c>
      <c r="K143">
        <f>IFERROR(VLOOKUP(C143,Merchants!$A$2:$D$41,4,FALSE),"Merchant not found")</f>
        <v/>
      </c>
      <c r="L143" s="4">
        <f>HLOOKUP(F143,Fee_Tiers!$B$2:$E$3,2,FALSE)</f>
        <v/>
      </c>
      <c r="M143">
        <f>E143*L143</f>
        <v/>
      </c>
      <c r="N143" s="5" t="n">
        <v>46048</v>
      </c>
      <c r="O143">
        <f>C143&amp;"_"&amp;TEXT(N143,"yyyy-mm-dd")</f>
        <v/>
      </c>
      <c r="P143">
        <f>IFERROR(VLOOKUP(O143,Merchant_Day_Analysis!$A$5:$G$447,7,FALSE),"Not found")</f>
        <v/>
      </c>
    </row>
    <row r="144">
      <c r="A144" t="inlineStr">
        <is>
          <t>TXN100142</t>
        </is>
      </c>
      <c r="B144" t="n">
        <v>211</v>
      </c>
      <c r="C144" t="n">
        <v>37</v>
      </c>
      <c r="D144" s="6" t="n">
        <v>46027.31458333333</v>
      </c>
      <c r="E144" t="n">
        <v>1499</v>
      </c>
      <c r="F144" t="inlineStr">
        <is>
          <t>UPI</t>
        </is>
      </c>
      <c r="G144" t="inlineStr">
        <is>
          <t>captured</t>
        </is>
      </c>
      <c r="H144" t="n">
        <v>87</v>
      </c>
      <c r="I144">
        <f>IFERROR(VLOOKUP(C144,Merchants!$A$2:$D$41,2,FALSE),"Merchant not found")</f>
        <v/>
      </c>
      <c r="J144">
        <f>IFERROR(VLOOKUP(C144,Merchants!$A$2:$D$41,3,FALSE),"Merchant not found")</f>
        <v/>
      </c>
      <c r="K144">
        <f>IFERROR(VLOOKUP(C144,Merchants!$A$2:$D$41,4,FALSE),"Merchant not found")</f>
        <v/>
      </c>
      <c r="L144" s="4">
        <f>HLOOKUP(F144,Fee_Tiers!$B$2:$E$3,2,FALSE)</f>
        <v/>
      </c>
      <c r="M144">
        <f>E144*L144</f>
        <v/>
      </c>
      <c r="N144" s="5" t="n">
        <v>46027</v>
      </c>
      <c r="O144">
        <f>C144&amp;"_"&amp;TEXT(N144,"yyyy-mm-dd")</f>
        <v/>
      </c>
      <c r="P144">
        <f>IFERROR(VLOOKUP(O144,Merchant_Day_Analysis!$A$5:$G$447,7,FALSE),"Not found")</f>
        <v/>
      </c>
    </row>
    <row r="145">
      <c r="A145" t="inlineStr">
        <is>
          <t>TXN100143</t>
        </is>
      </c>
      <c r="B145" t="n">
        <v>90</v>
      </c>
      <c r="C145" t="n">
        <v>6</v>
      </c>
      <c r="D145" s="6" t="n">
        <v>46048.21527777778</v>
      </c>
      <c r="E145" t="n">
        <v>49</v>
      </c>
      <c r="F145" t="inlineStr">
        <is>
          <t>Card</t>
        </is>
      </c>
      <c r="G145" t="inlineStr">
        <is>
          <t>captured</t>
        </is>
      </c>
      <c r="H145" t="n">
        <v>78</v>
      </c>
      <c r="I145">
        <f>IFERROR(VLOOKUP(C145,Merchants!$A$2:$D$41,2,FALSE),"Merchant not found")</f>
        <v/>
      </c>
      <c r="J145">
        <f>IFERROR(VLOOKUP(C145,Merchants!$A$2:$D$41,3,FALSE),"Merchant not found")</f>
        <v/>
      </c>
      <c r="K145">
        <f>IFERROR(VLOOKUP(C145,Merchants!$A$2:$D$41,4,FALSE),"Merchant not found")</f>
        <v/>
      </c>
      <c r="L145" s="4">
        <f>HLOOKUP(F145,Fee_Tiers!$B$2:$E$3,2,FALSE)</f>
        <v/>
      </c>
      <c r="M145">
        <f>E145*L145</f>
        <v/>
      </c>
      <c r="N145" s="5" t="n">
        <v>46048</v>
      </c>
      <c r="O145">
        <f>C145&amp;"_"&amp;TEXT(N145,"yyyy-mm-dd")</f>
        <v/>
      </c>
      <c r="P145">
        <f>IFERROR(VLOOKUP(O145,Merchant_Day_Analysis!$A$5:$G$447,7,FALSE),"Not found")</f>
        <v/>
      </c>
    </row>
    <row r="146">
      <c r="A146" t="inlineStr">
        <is>
          <t>TXN100144</t>
        </is>
      </c>
      <c r="B146" t="n">
        <v>350</v>
      </c>
      <c r="C146" t="n">
        <v>16</v>
      </c>
      <c r="D146" s="6" t="n">
        <v>46050.52708333333</v>
      </c>
      <c r="E146" t="n">
        <v>49</v>
      </c>
      <c r="F146" t="inlineStr">
        <is>
          <t>UPI</t>
        </is>
      </c>
      <c r="G146" t="inlineStr">
        <is>
          <t>captured</t>
        </is>
      </c>
      <c r="H146" t="n">
        <v>63</v>
      </c>
      <c r="I146">
        <f>IFERROR(VLOOKUP(C146,Merchants!$A$2:$D$41,2,FALSE),"Merchant not found")</f>
        <v/>
      </c>
      <c r="J146">
        <f>IFERROR(VLOOKUP(C146,Merchants!$A$2:$D$41,3,FALSE),"Merchant not found")</f>
        <v/>
      </c>
      <c r="K146">
        <f>IFERROR(VLOOKUP(C146,Merchants!$A$2:$D$41,4,FALSE),"Merchant not found")</f>
        <v/>
      </c>
      <c r="L146" s="4">
        <f>HLOOKUP(F146,Fee_Tiers!$B$2:$E$3,2,FALSE)</f>
        <v/>
      </c>
      <c r="M146">
        <f>E146*L146</f>
        <v/>
      </c>
      <c r="N146" s="5" t="n">
        <v>46050</v>
      </c>
      <c r="O146">
        <f>C146&amp;"_"&amp;TEXT(N146,"yyyy-mm-dd")</f>
        <v/>
      </c>
      <c r="P146">
        <f>IFERROR(VLOOKUP(O146,Merchant_Day_Analysis!$A$5:$G$447,7,FALSE),"Not found")</f>
        <v/>
      </c>
    </row>
    <row r="147">
      <c r="A147" t="inlineStr">
        <is>
          <t>TXN100145</t>
        </is>
      </c>
      <c r="B147" t="n">
        <v>119</v>
      </c>
      <c r="C147" t="n">
        <v>30</v>
      </c>
      <c r="D147" s="6" t="n">
        <v>46052.75625</v>
      </c>
      <c r="E147" t="n">
        <v>49</v>
      </c>
      <c r="F147" t="inlineStr">
        <is>
          <t>Card</t>
        </is>
      </c>
      <c r="G147" t="inlineStr">
        <is>
          <t>captured</t>
        </is>
      </c>
      <c r="H147" t="n">
        <v>81</v>
      </c>
      <c r="I147">
        <f>IFERROR(VLOOKUP(C147,Merchants!$A$2:$D$41,2,FALSE),"Merchant not found")</f>
        <v/>
      </c>
      <c r="J147">
        <f>IFERROR(VLOOKUP(C147,Merchants!$A$2:$D$41,3,FALSE),"Merchant not found")</f>
        <v/>
      </c>
      <c r="K147">
        <f>IFERROR(VLOOKUP(C147,Merchants!$A$2:$D$41,4,FALSE),"Merchant not found")</f>
        <v/>
      </c>
      <c r="L147" s="4">
        <f>HLOOKUP(F147,Fee_Tiers!$B$2:$E$3,2,FALSE)</f>
        <v/>
      </c>
      <c r="M147">
        <f>E147*L147</f>
        <v/>
      </c>
      <c r="N147" s="5" t="n">
        <v>46052</v>
      </c>
      <c r="O147">
        <f>C147&amp;"_"&amp;TEXT(N147,"yyyy-mm-dd")</f>
        <v/>
      </c>
      <c r="P147">
        <f>IFERROR(VLOOKUP(O147,Merchant_Day_Analysis!$A$5:$G$447,7,FALSE),"Not found")</f>
        <v/>
      </c>
    </row>
    <row r="148">
      <c r="A148" t="inlineStr">
        <is>
          <t>TXN100146</t>
        </is>
      </c>
      <c r="B148" t="n">
        <v>342</v>
      </c>
      <c r="C148" t="n">
        <v>1</v>
      </c>
      <c r="D148" s="6" t="n">
        <v>46031.59444444445</v>
      </c>
      <c r="E148" t="n">
        <v>49</v>
      </c>
      <c r="F148" t="inlineStr">
        <is>
          <t>UPI</t>
        </is>
      </c>
      <c r="G148" t="inlineStr">
        <is>
          <t>captured</t>
        </is>
      </c>
      <c r="H148" t="n">
        <v>59</v>
      </c>
      <c r="I148">
        <f>IFERROR(VLOOKUP(C148,Merchants!$A$2:$D$41,2,FALSE),"Merchant not found")</f>
        <v/>
      </c>
      <c r="J148">
        <f>IFERROR(VLOOKUP(C148,Merchants!$A$2:$D$41,3,FALSE),"Merchant not found")</f>
        <v/>
      </c>
      <c r="K148">
        <f>IFERROR(VLOOKUP(C148,Merchants!$A$2:$D$41,4,FALSE),"Merchant not found")</f>
        <v/>
      </c>
      <c r="L148" s="4">
        <f>HLOOKUP(F148,Fee_Tiers!$B$2:$E$3,2,FALSE)</f>
        <v/>
      </c>
      <c r="M148">
        <f>E148*L148</f>
        <v/>
      </c>
      <c r="N148" s="5" t="n">
        <v>46031</v>
      </c>
      <c r="O148">
        <f>C148&amp;"_"&amp;TEXT(N148,"yyyy-mm-dd")</f>
        <v/>
      </c>
      <c r="P148">
        <f>IFERROR(VLOOKUP(O148,Merchant_Day_Analysis!$A$5:$G$447,7,FALSE),"Not found")</f>
        <v/>
      </c>
    </row>
    <row r="149">
      <c r="A149" t="inlineStr">
        <is>
          <t>TXN100147</t>
        </is>
      </c>
      <c r="B149" t="n">
        <v>280</v>
      </c>
      <c r="C149" t="n">
        <v>11</v>
      </c>
      <c r="D149" s="6" t="n">
        <v>46051.40486111111</v>
      </c>
      <c r="E149" t="n">
        <v>149</v>
      </c>
      <c r="F149" t="inlineStr">
        <is>
          <t>UPI</t>
        </is>
      </c>
      <c r="G149" t="inlineStr">
        <is>
          <t>chargeback</t>
        </is>
      </c>
      <c r="H149" t="n">
        <v>9</v>
      </c>
      <c r="I149">
        <f>IFERROR(VLOOKUP(C149,Merchants!$A$2:$D$41,2,FALSE),"Merchant not found")</f>
        <v/>
      </c>
      <c r="J149">
        <f>IFERROR(VLOOKUP(C149,Merchants!$A$2:$D$41,3,FALSE),"Merchant not found")</f>
        <v/>
      </c>
      <c r="K149">
        <f>IFERROR(VLOOKUP(C149,Merchants!$A$2:$D$41,4,FALSE),"Merchant not found")</f>
        <v/>
      </c>
      <c r="L149" s="4">
        <f>HLOOKUP(F149,Fee_Tiers!$B$2:$E$3,2,FALSE)</f>
        <v/>
      </c>
      <c r="M149">
        <f>E149*L149</f>
        <v/>
      </c>
      <c r="N149" s="5" t="n">
        <v>46051</v>
      </c>
      <c r="O149">
        <f>C149&amp;"_"&amp;TEXT(N149,"yyyy-mm-dd")</f>
        <v/>
      </c>
      <c r="P149">
        <f>IFERROR(VLOOKUP(O149,Merchant_Day_Analysis!$A$5:$G$447,7,FALSE),"Not found")</f>
        <v/>
      </c>
    </row>
    <row r="150">
      <c r="A150" t="inlineStr">
        <is>
          <t>TXN100148</t>
        </is>
      </c>
      <c r="B150" t="n">
        <v>154</v>
      </c>
      <c r="C150" t="n">
        <v>28</v>
      </c>
      <c r="D150" s="6" t="n">
        <v>46037.48402777778</v>
      </c>
      <c r="E150" t="n">
        <v>2999</v>
      </c>
      <c r="F150" t="inlineStr">
        <is>
          <t>Netbanking</t>
        </is>
      </c>
      <c r="G150" t="inlineStr">
        <is>
          <t>captured</t>
        </is>
      </c>
      <c r="H150" t="n">
        <v>88</v>
      </c>
      <c r="I150">
        <f>IFERROR(VLOOKUP(C150,Merchants!$A$2:$D$41,2,FALSE),"Merchant not found")</f>
        <v/>
      </c>
      <c r="J150">
        <f>IFERROR(VLOOKUP(C150,Merchants!$A$2:$D$41,3,FALSE),"Merchant not found")</f>
        <v/>
      </c>
      <c r="K150">
        <f>IFERROR(VLOOKUP(C150,Merchants!$A$2:$D$41,4,FALSE),"Merchant not found")</f>
        <v/>
      </c>
      <c r="L150" s="4">
        <f>HLOOKUP(F150,Fee_Tiers!$B$2:$E$3,2,FALSE)</f>
        <v/>
      </c>
      <c r="M150">
        <f>E150*L150</f>
        <v/>
      </c>
      <c r="N150" s="5" t="n">
        <v>46037</v>
      </c>
      <c r="O150">
        <f>C150&amp;"_"&amp;TEXT(N150,"yyyy-mm-dd")</f>
        <v/>
      </c>
      <c r="P150">
        <f>IFERROR(VLOOKUP(O150,Merchant_Day_Analysis!$A$5:$G$447,7,FALSE),"Not found")</f>
        <v/>
      </c>
    </row>
    <row r="151">
      <c r="A151" t="inlineStr">
        <is>
          <t>TXN100149</t>
        </is>
      </c>
      <c r="B151" t="n">
        <v>155</v>
      </c>
      <c r="C151" t="n">
        <v>13</v>
      </c>
      <c r="D151" s="6" t="n">
        <v>46031.62083333333</v>
      </c>
      <c r="E151" t="n">
        <v>149</v>
      </c>
      <c r="F151" t="inlineStr">
        <is>
          <t>UPI</t>
        </is>
      </c>
      <c r="G151" t="inlineStr">
        <is>
          <t>captured</t>
        </is>
      </c>
      <c r="H151" t="n">
        <v>49</v>
      </c>
      <c r="I151">
        <f>IFERROR(VLOOKUP(C151,Merchants!$A$2:$D$41,2,FALSE),"Merchant not found")</f>
        <v/>
      </c>
      <c r="J151">
        <f>IFERROR(VLOOKUP(C151,Merchants!$A$2:$D$41,3,FALSE),"Merchant not found")</f>
        <v/>
      </c>
      <c r="K151">
        <f>IFERROR(VLOOKUP(C151,Merchants!$A$2:$D$41,4,FALSE),"Merchant not found")</f>
        <v/>
      </c>
      <c r="L151" s="4">
        <f>HLOOKUP(F151,Fee_Tiers!$B$2:$E$3,2,FALSE)</f>
        <v/>
      </c>
      <c r="M151">
        <f>E151*L151</f>
        <v/>
      </c>
      <c r="N151" s="5" t="n">
        <v>46031</v>
      </c>
      <c r="O151">
        <f>C151&amp;"_"&amp;TEXT(N151,"yyyy-mm-dd")</f>
        <v/>
      </c>
      <c r="P151">
        <f>IFERROR(VLOOKUP(O151,Merchant_Day_Analysis!$A$5:$G$447,7,FALSE),"Not found")</f>
        <v/>
      </c>
    </row>
    <row r="152">
      <c r="A152" t="inlineStr">
        <is>
          <t>TXN100150</t>
        </is>
      </c>
      <c r="B152" t="n">
        <v>122</v>
      </c>
      <c r="C152" t="n">
        <v>25</v>
      </c>
      <c r="D152" s="6" t="n">
        <v>46050.62916666667</v>
      </c>
      <c r="E152" t="n">
        <v>299</v>
      </c>
      <c r="F152" t="inlineStr">
        <is>
          <t>UPI</t>
        </is>
      </c>
      <c r="G152" t="inlineStr">
        <is>
          <t>captured</t>
        </is>
      </c>
      <c r="H152" t="n">
        <v>73</v>
      </c>
      <c r="I152">
        <f>IFERROR(VLOOKUP(C152,Merchants!$A$2:$D$41,2,FALSE),"Merchant not found")</f>
        <v/>
      </c>
      <c r="J152">
        <f>IFERROR(VLOOKUP(C152,Merchants!$A$2:$D$41,3,FALSE),"Merchant not found")</f>
        <v/>
      </c>
      <c r="K152">
        <f>IFERROR(VLOOKUP(C152,Merchants!$A$2:$D$41,4,FALSE),"Merchant not found")</f>
        <v/>
      </c>
      <c r="L152" s="4">
        <f>HLOOKUP(F152,Fee_Tiers!$B$2:$E$3,2,FALSE)</f>
        <v/>
      </c>
      <c r="M152">
        <f>E152*L152</f>
        <v/>
      </c>
      <c r="N152" s="5" t="n">
        <v>46050</v>
      </c>
      <c r="O152">
        <f>C152&amp;"_"&amp;TEXT(N152,"yyyy-mm-dd")</f>
        <v/>
      </c>
      <c r="P152">
        <f>IFERROR(VLOOKUP(O152,Merchant_Day_Analysis!$A$5:$G$447,7,FALSE),"Not found")</f>
        <v/>
      </c>
    </row>
    <row r="153">
      <c r="A153" t="inlineStr">
        <is>
          <t>TXN100151</t>
        </is>
      </c>
      <c r="B153" t="n">
        <v>152</v>
      </c>
      <c r="C153" t="n">
        <v>2</v>
      </c>
      <c r="D153" s="6" t="n">
        <v>46034.7625</v>
      </c>
      <c r="E153" t="n">
        <v>49</v>
      </c>
      <c r="F153" t="inlineStr">
        <is>
          <t>UPI</t>
        </is>
      </c>
      <c r="G153" t="inlineStr">
        <is>
          <t>captured</t>
        </is>
      </c>
      <c r="H153" t="n">
        <v>84</v>
      </c>
      <c r="I153">
        <f>IFERROR(VLOOKUP(C153,Merchants!$A$2:$D$41,2,FALSE),"Merchant not found")</f>
        <v/>
      </c>
      <c r="J153">
        <f>IFERROR(VLOOKUP(C153,Merchants!$A$2:$D$41,3,FALSE),"Merchant not found")</f>
        <v/>
      </c>
      <c r="K153">
        <f>IFERROR(VLOOKUP(C153,Merchants!$A$2:$D$41,4,FALSE),"Merchant not found")</f>
        <v/>
      </c>
      <c r="L153" s="4">
        <f>HLOOKUP(F153,Fee_Tiers!$B$2:$E$3,2,FALSE)</f>
        <v/>
      </c>
      <c r="M153">
        <f>E153*L153</f>
        <v/>
      </c>
      <c r="N153" s="5" t="n">
        <v>46034</v>
      </c>
      <c r="O153">
        <f>C153&amp;"_"&amp;TEXT(N153,"yyyy-mm-dd")</f>
        <v/>
      </c>
      <c r="P153">
        <f>IFERROR(VLOOKUP(O153,Merchant_Day_Analysis!$A$5:$G$447,7,FALSE),"Not found")</f>
        <v/>
      </c>
    </row>
    <row r="154">
      <c r="A154" t="inlineStr">
        <is>
          <t>TXN100152</t>
        </is>
      </c>
      <c r="B154" t="n">
        <v>290</v>
      </c>
      <c r="C154" t="n">
        <v>4</v>
      </c>
      <c r="D154" s="6" t="n">
        <v>46035.33333333334</v>
      </c>
      <c r="E154" t="n">
        <v>149</v>
      </c>
      <c r="F154" t="inlineStr">
        <is>
          <t>UPI</t>
        </is>
      </c>
      <c r="G154" t="inlineStr">
        <is>
          <t>captured</t>
        </is>
      </c>
      <c r="H154" t="n">
        <v>77</v>
      </c>
      <c r="I154">
        <f>IFERROR(VLOOKUP(C154,Merchants!$A$2:$D$41,2,FALSE),"Merchant not found")</f>
        <v/>
      </c>
      <c r="J154">
        <f>IFERROR(VLOOKUP(C154,Merchants!$A$2:$D$41,3,FALSE),"Merchant not found")</f>
        <v/>
      </c>
      <c r="K154">
        <f>IFERROR(VLOOKUP(C154,Merchants!$A$2:$D$41,4,FALSE),"Merchant not found")</f>
        <v/>
      </c>
      <c r="L154" s="4">
        <f>HLOOKUP(F154,Fee_Tiers!$B$2:$E$3,2,FALSE)</f>
        <v/>
      </c>
      <c r="M154">
        <f>E154*L154</f>
        <v/>
      </c>
      <c r="N154" s="5" t="n">
        <v>46035</v>
      </c>
      <c r="O154">
        <f>C154&amp;"_"&amp;TEXT(N154,"yyyy-mm-dd")</f>
        <v/>
      </c>
      <c r="P154">
        <f>IFERROR(VLOOKUP(O154,Merchant_Day_Analysis!$A$5:$G$447,7,FALSE),"Not found")</f>
        <v/>
      </c>
    </row>
    <row r="155">
      <c r="A155" t="inlineStr">
        <is>
          <t>TXN100153</t>
        </is>
      </c>
      <c r="B155" t="n">
        <v>147</v>
      </c>
      <c r="C155" t="n">
        <v>15</v>
      </c>
      <c r="D155" s="6" t="n">
        <v>46046.66180555556</v>
      </c>
      <c r="E155" t="n">
        <v>49</v>
      </c>
      <c r="F155" t="inlineStr">
        <is>
          <t>Wallet</t>
        </is>
      </c>
      <c r="G155" t="inlineStr">
        <is>
          <t>captured</t>
        </is>
      </c>
      <c r="H155" t="n">
        <v>77</v>
      </c>
      <c r="I155">
        <f>IFERROR(VLOOKUP(C155,Merchants!$A$2:$D$41,2,FALSE),"Merchant not found")</f>
        <v/>
      </c>
      <c r="J155">
        <f>IFERROR(VLOOKUP(C155,Merchants!$A$2:$D$41,3,FALSE),"Merchant not found")</f>
        <v/>
      </c>
      <c r="K155">
        <f>IFERROR(VLOOKUP(C155,Merchants!$A$2:$D$41,4,FALSE),"Merchant not found")</f>
        <v/>
      </c>
      <c r="L155" s="4">
        <f>HLOOKUP(F155,Fee_Tiers!$B$2:$E$3,2,FALSE)</f>
        <v/>
      </c>
      <c r="M155">
        <f>E155*L155</f>
        <v/>
      </c>
      <c r="N155" s="5" t="n">
        <v>46046</v>
      </c>
      <c r="O155">
        <f>C155&amp;"_"&amp;TEXT(N155,"yyyy-mm-dd")</f>
        <v/>
      </c>
      <c r="P155">
        <f>IFERROR(VLOOKUP(O155,Merchant_Day_Analysis!$A$5:$G$447,7,FALSE),"Not found")</f>
        <v/>
      </c>
    </row>
    <row r="156">
      <c r="A156" t="inlineStr">
        <is>
          <t>TXN100154</t>
        </is>
      </c>
      <c r="B156" t="n">
        <v>326</v>
      </c>
      <c r="C156" t="n">
        <v>13</v>
      </c>
      <c r="D156" s="6" t="n">
        <v>46048.46805555555</v>
      </c>
      <c r="E156" t="n">
        <v>299</v>
      </c>
      <c r="F156" t="inlineStr">
        <is>
          <t>Netbanking</t>
        </is>
      </c>
      <c r="G156" t="inlineStr">
        <is>
          <t>captured</t>
        </is>
      </c>
      <c r="H156" t="n">
        <v>79</v>
      </c>
      <c r="I156">
        <f>IFERROR(VLOOKUP(C156,Merchants!$A$2:$D$41,2,FALSE),"Merchant not found")</f>
        <v/>
      </c>
      <c r="J156">
        <f>IFERROR(VLOOKUP(C156,Merchants!$A$2:$D$41,3,FALSE),"Merchant not found")</f>
        <v/>
      </c>
      <c r="K156">
        <f>IFERROR(VLOOKUP(C156,Merchants!$A$2:$D$41,4,FALSE),"Merchant not found")</f>
        <v/>
      </c>
      <c r="L156" s="4">
        <f>HLOOKUP(F156,Fee_Tiers!$B$2:$E$3,2,FALSE)</f>
        <v/>
      </c>
      <c r="M156">
        <f>E156*L156</f>
        <v/>
      </c>
      <c r="N156" s="5" t="n">
        <v>46048</v>
      </c>
      <c r="O156">
        <f>C156&amp;"_"&amp;TEXT(N156,"yyyy-mm-dd")</f>
        <v/>
      </c>
      <c r="P156">
        <f>IFERROR(VLOOKUP(O156,Merchant_Day_Analysis!$A$5:$G$447,7,FALSE),"Not found")</f>
        <v/>
      </c>
    </row>
    <row r="157">
      <c r="A157" t="inlineStr">
        <is>
          <t>TXN100155</t>
        </is>
      </c>
      <c r="B157" t="n">
        <v>338</v>
      </c>
      <c r="C157" t="n">
        <v>9</v>
      </c>
      <c r="D157" s="6" t="n">
        <v>46031.90833333333</v>
      </c>
      <c r="E157" t="n">
        <v>99</v>
      </c>
      <c r="F157" t="inlineStr">
        <is>
          <t>Card</t>
        </is>
      </c>
      <c r="G157" t="inlineStr">
        <is>
          <t>captured</t>
        </is>
      </c>
      <c r="H157" t="n">
        <v>80</v>
      </c>
      <c r="I157">
        <f>IFERROR(VLOOKUP(C157,Merchants!$A$2:$D$41,2,FALSE),"Merchant not found")</f>
        <v/>
      </c>
      <c r="J157">
        <f>IFERROR(VLOOKUP(C157,Merchants!$A$2:$D$41,3,FALSE),"Merchant not found")</f>
        <v/>
      </c>
      <c r="K157">
        <f>IFERROR(VLOOKUP(C157,Merchants!$A$2:$D$41,4,FALSE),"Merchant not found")</f>
        <v/>
      </c>
      <c r="L157" s="4">
        <f>HLOOKUP(F157,Fee_Tiers!$B$2:$E$3,2,FALSE)</f>
        <v/>
      </c>
      <c r="M157">
        <f>E157*L157</f>
        <v/>
      </c>
      <c r="N157" s="5" t="n">
        <v>46031</v>
      </c>
      <c r="O157">
        <f>C157&amp;"_"&amp;TEXT(N157,"yyyy-mm-dd")</f>
        <v/>
      </c>
      <c r="P157">
        <f>IFERROR(VLOOKUP(O157,Merchant_Day_Analysis!$A$5:$G$447,7,FALSE),"Not found")</f>
        <v/>
      </c>
    </row>
    <row r="158">
      <c r="A158" t="inlineStr">
        <is>
          <t>TXN100156</t>
        </is>
      </c>
      <c r="B158" t="n">
        <v>21</v>
      </c>
      <c r="C158" t="n">
        <v>20</v>
      </c>
      <c r="D158" s="6" t="n">
        <v>46026.86180555556</v>
      </c>
      <c r="E158" t="n">
        <v>2999</v>
      </c>
      <c r="F158" t="inlineStr">
        <is>
          <t>UPI</t>
        </is>
      </c>
      <c r="G158" t="inlineStr">
        <is>
          <t>captured</t>
        </is>
      </c>
      <c r="H158" t="n">
        <v>100</v>
      </c>
      <c r="I158">
        <f>IFERROR(VLOOKUP(C158,Merchants!$A$2:$D$41,2,FALSE),"Merchant not found")</f>
        <v/>
      </c>
      <c r="J158">
        <f>IFERROR(VLOOKUP(C158,Merchants!$A$2:$D$41,3,FALSE),"Merchant not found")</f>
        <v/>
      </c>
      <c r="K158">
        <f>IFERROR(VLOOKUP(C158,Merchants!$A$2:$D$41,4,FALSE),"Merchant not found")</f>
        <v/>
      </c>
      <c r="L158" s="4">
        <f>HLOOKUP(F158,Fee_Tiers!$B$2:$E$3,2,FALSE)</f>
        <v/>
      </c>
      <c r="M158">
        <f>E158*L158</f>
        <v/>
      </c>
      <c r="N158" s="5" t="n">
        <v>46026</v>
      </c>
      <c r="O158">
        <f>C158&amp;"_"&amp;TEXT(N158,"yyyy-mm-dd")</f>
        <v/>
      </c>
      <c r="P158">
        <f>IFERROR(VLOOKUP(O158,Merchant_Day_Analysis!$A$5:$G$447,7,FALSE),"Not found")</f>
        <v/>
      </c>
    </row>
    <row r="159">
      <c r="A159" t="inlineStr">
        <is>
          <t>TXN100157</t>
        </is>
      </c>
      <c r="B159" t="n">
        <v>187</v>
      </c>
      <c r="C159" t="n">
        <v>9</v>
      </c>
      <c r="D159" s="6" t="n">
        <v>46037.06736111111</v>
      </c>
      <c r="E159" t="n">
        <v>49</v>
      </c>
      <c r="F159" t="inlineStr">
        <is>
          <t>Card</t>
        </is>
      </c>
      <c r="G159" t="inlineStr">
        <is>
          <t>failed</t>
        </is>
      </c>
      <c r="H159" t="n">
        <v>11</v>
      </c>
      <c r="I159">
        <f>IFERROR(VLOOKUP(C159,Merchants!$A$2:$D$41,2,FALSE),"Merchant not found")</f>
        <v/>
      </c>
      <c r="J159">
        <f>IFERROR(VLOOKUP(C159,Merchants!$A$2:$D$41,3,FALSE),"Merchant not found")</f>
        <v/>
      </c>
      <c r="K159">
        <f>IFERROR(VLOOKUP(C159,Merchants!$A$2:$D$41,4,FALSE),"Merchant not found")</f>
        <v/>
      </c>
      <c r="L159" s="4">
        <f>HLOOKUP(F159,Fee_Tiers!$B$2:$E$3,2,FALSE)</f>
        <v/>
      </c>
      <c r="M159">
        <f>E159*L159</f>
        <v/>
      </c>
      <c r="N159" s="5" t="n">
        <v>46037</v>
      </c>
      <c r="O159">
        <f>C159&amp;"_"&amp;TEXT(N159,"yyyy-mm-dd")</f>
        <v/>
      </c>
      <c r="P159">
        <f>IFERROR(VLOOKUP(O159,Merchant_Day_Analysis!$A$5:$G$447,7,FALSE),"Not found")</f>
        <v/>
      </c>
    </row>
    <row r="160">
      <c r="A160" t="inlineStr">
        <is>
          <t>TXN100158</t>
        </is>
      </c>
      <c r="B160" t="n">
        <v>213</v>
      </c>
      <c r="C160" t="n">
        <v>12</v>
      </c>
      <c r="D160" s="6" t="n">
        <v>46052.38888888889</v>
      </c>
      <c r="E160" t="n">
        <v>4999</v>
      </c>
      <c r="F160" t="inlineStr">
        <is>
          <t>UPI</t>
        </is>
      </c>
      <c r="G160" t="inlineStr">
        <is>
          <t>captured</t>
        </is>
      </c>
      <c r="H160" t="n">
        <v>25</v>
      </c>
      <c r="I160">
        <f>IFERROR(VLOOKUP(C160,Merchants!$A$2:$D$41,2,FALSE),"Merchant not found")</f>
        <v/>
      </c>
      <c r="J160">
        <f>IFERROR(VLOOKUP(C160,Merchants!$A$2:$D$41,3,FALSE),"Merchant not found")</f>
        <v/>
      </c>
      <c r="K160">
        <f>IFERROR(VLOOKUP(C160,Merchants!$A$2:$D$41,4,FALSE),"Merchant not found")</f>
        <v/>
      </c>
      <c r="L160" s="4">
        <f>HLOOKUP(F160,Fee_Tiers!$B$2:$E$3,2,FALSE)</f>
        <v/>
      </c>
      <c r="M160">
        <f>E160*L160</f>
        <v/>
      </c>
      <c r="N160" s="5" t="n">
        <v>46052</v>
      </c>
      <c r="O160">
        <f>C160&amp;"_"&amp;TEXT(N160,"yyyy-mm-dd")</f>
        <v/>
      </c>
      <c r="P160">
        <f>IFERROR(VLOOKUP(O160,Merchant_Day_Analysis!$A$5:$G$447,7,FALSE),"Not found")</f>
        <v/>
      </c>
    </row>
    <row r="161">
      <c r="A161" t="inlineStr">
        <is>
          <t>TXN100159</t>
        </is>
      </c>
      <c r="B161" t="n">
        <v>188</v>
      </c>
      <c r="C161" t="n">
        <v>34</v>
      </c>
      <c r="D161" s="6" t="n">
        <v>46027.74722222222</v>
      </c>
      <c r="E161" t="n">
        <v>2999</v>
      </c>
      <c r="F161" t="inlineStr">
        <is>
          <t>UPI</t>
        </is>
      </c>
      <c r="G161" t="inlineStr">
        <is>
          <t>captured</t>
        </is>
      </c>
      <c r="H161" t="n">
        <v>64</v>
      </c>
      <c r="I161">
        <f>IFERROR(VLOOKUP(C161,Merchants!$A$2:$D$41,2,FALSE),"Merchant not found")</f>
        <v/>
      </c>
      <c r="J161">
        <f>IFERROR(VLOOKUP(C161,Merchants!$A$2:$D$41,3,FALSE),"Merchant not found")</f>
        <v/>
      </c>
      <c r="K161">
        <f>IFERROR(VLOOKUP(C161,Merchants!$A$2:$D$41,4,FALSE),"Merchant not found")</f>
        <v/>
      </c>
      <c r="L161" s="4">
        <f>HLOOKUP(F161,Fee_Tiers!$B$2:$E$3,2,FALSE)</f>
        <v/>
      </c>
      <c r="M161">
        <f>E161*L161</f>
        <v/>
      </c>
      <c r="N161" s="5" t="n">
        <v>46027</v>
      </c>
      <c r="O161">
        <f>C161&amp;"_"&amp;TEXT(N161,"yyyy-mm-dd")</f>
        <v/>
      </c>
      <c r="P161">
        <f>IFERROR(VLOOKUP(O161,Merchant_Day_Analysis!$A$5:$G$447,7,FALSE),"Not found")</f>
        <v/>
      </c>
    </row>
    <row r="162">
      <c r="A162" t="inlineStr">
        <is>
          <t>TXN100160</t>
        </is>
      </c>
      <c r="B162" t="n">
        <v>85</v>
      </c>
      <c r="C162" t="n">
        <v>17</v>
      </c>
      <c r="D162" s="6" t="n">
        <v>46052.37013888889</v>
      </c>
      <c r="E162" t="n">
        <v>499</v>
      </c>
      <c r="F162" t="inlineStr">
        <is>
          <t>UPI</t>
        </is>
      </c>
      <c r="G162" t="inlineStr">
        <is>
          <t>captured</t>
        </is>
      </c>
      <c r="H162" t="n">
        <v>61</v>
      </c>
      <c r="I162">
        <f>IFERROR(VLOOKUP(C162,Merchants!$A$2:$D$41,2,FALSE),"Merchant not found")</f>
        <v/>
      </c>
      <c r="J162">
        <f>IFERROR(VLOOKUP(C162,Merchants!$A$2:$D$41,3,FALSE),"Merchant not found")</f>
        <v/>
      </c>
      <c r="K162">
        <f>IFERROR(VLOOKUP(C162,Merchants!$A$2:$D$41,4,FALSE),"Merchant not found")</f>
        <v/>
      </c>
      <c r="L162" s="4">
        <f>HLOOKUP(F162,Fee_Tiers!$B$2:$E$3,2,FALSE)</f>
        <v/>
      </c>
      <c r="M162">
        <f>E162*L162</f>
        <v/>
      </c>
      <c r="N162" s="5" t="n">
        <v>46052</v>
      </c>
      <c r="O162">
        <f>C162&amp;"_"&amp;TEXT(N162,"yyyy-mm-dd")</f>
        <v/>
      </c>
      <c r="P162">
        <f>IFERROR(VLOOKUP(O162,Merchant_Day_Analysis!$A$5:$G$447,7,FALSE),"Not found")</f>
        <v/>
      </c>
    </row>
    <row r="163">
      <c r="A163" t="inlineStr">
        <is>
          <t>TXN100161</t>
        </is>
      </c>
      <c r="B163" t="n">
        <v>174</v>
      </c>
      <c r="C163" t="n">
        <v>8</v>
      </c>
      <c r="D163" s="6" t="n">
        <v>46048.40763888889</v>
      </c>
      <c r="E163" t="n">
        <v>299</v>
      </c>
      <c r="F163" t="inlineStr">
        <is>
          <t>Netbanking</t>
        </is>
      </c>
      <c r="G163" t="inlineStr">
        <is>
          <t>captured</t>
        </is>
      </c>
      <c r="H163" t="n">
        <v>59</v>
      </c>
      <c r="I163">
        <f>IFERROR(VLOOKUP(C163,Merchants!$A$2:$D$41,2,FALSE),"Merchant not found")</f>
        <v/>
      </c>
      <c r="J163">
        <f>IFERROR(VLOOKUP(C163,Merchants!$A$2:$D$41,3,FALSE),"Merchant not found")</f>
        <v/>
      </c>
      <c r="K163">
        <f>IFERROR(VLOOKUP(C163,Merchants!$A$2:$D$41,4,FALSE),"Merchant not found")</f>
        <v/>
      </c>
      <c r="L163" s="4">
        <f>HLOOKUP(F163,Fee_Tiers!$B$2:$E$3,2,FALSE)</f>
        <v/>
      </c>
      <c r="M163">
        <f>E163*L163</f>
        <v/>
      </c>
      <c r="N163" s="5" t="n">
        <v>46048</v>
      </c>
      <c r="O163">
        <f>C163&amp;"_"&amp;TEXT(N163,"yyyy-mm-dd")</f>
        <v/>
      </c>
      <c r="P163">
        <f>IFERROR(VLOOKUP(O163,Merchant_Day_Analysis!$A$5:$G$447,7,FALSE),"Not found")</f>
        <v/>
      </c>
    </row>
    <row r="164">
      <c r="A164" t="inlineStr">
        <is>
          <t>TXN100162</t>
        </is>
      </c>
      <c r="B164" t="n">
        <v>116</v>
      </c>
      <c r="C164" t="n">
        <v>26</v>
      </c>
      <c r="D164" s="6" t="n">
        <v>46025.2</v>
      </c>
      <c r="E164" t="n">
        <v>99</v>
      </c>
      <c r="F164" t="inlineStr">
        <is>
          <t>Netbanking</t>
        </is>
      </c>
      <c r="G164" t="inlineStr">
        <is>
          <t>captured</t>
        </is>
      </c>
      <c r="H164" t="n">
        <v>71</v>
      </c>
      <c r="I164">
        <f>IFERROR(VLOOKUP(C164,Merchants!$A$2:$D$41,2,FALSE),"Merchant not found")</f>
        <v/>
      </c>
      <c r="J164">
        <f>IFERROR(VLOOKUP(C164,Merchants!$A$2:$D$41,3,FALSE),"Merchant not found")</f>
        <v/>
      </c>
      <c r="K164">
        <f>IFERROR(VLOOKUP(C164,Merchants!$A$2:$D$41,4,FALSE),"Merchant not found")</f>
        <v/>
      </c>
      <c r="L164" s="4">
        <f>HLOOKUP(F164,Fee_Tiers!$B$2:$E$3,2,FALSE)</f>
        <v/>
      </c>
      <c r="M164">
        <f>E164*L164</f>
        <v/>
      </c>
      <c r="N164" s="5" t="n">
        <v>46025</v>
      </c>
      <c r="O164">
        <f>C164&amp;"_"&amp;TEXT(N164,"yyyy-mm-dd")</f>
        <v/>
      </c>
      <c r="P164">
        <f>IFERROR(VLOOKUP(O164,Merchant_Day_Analysis!$A$5:$G$447,7,FALSE),"Not found")</f>
        <v/>
      </c>
    </row>
    <row r="165">
      <c r="A165" t="inlineStr">
        <is>
          <t>TXN100163</t>
        </is>
      </c>
      <c r="B165" t="n">
        <v>203</v>
      </c>
      <c r="C165" t="n">
        <v>1</v>
      </c>
      <c r="D165" s="6" t="n">
        <v>46034.11805555555</v>
      </c>
      <c r="E165" t="n">
        <v>149</v>
      </c>
      <c r="F165" t="inlineStr">
        <is>
          <t>Wallet</t>
        </is>
      </c>
      <c r="G165" t="inlineStr">
        <is>
          <t>captured</t>
        </is>
      </c>
      <c r="H165" t="n">
        <v>33</v>
      </c>
      <c r="I165">
        <f>IFERROR(VLOOKUP(C165,Merchants!$A$2:$D$41,2,FALSE),"Merchant not found")</f>
        <v/>
      </c>
      <c r="J165">
        <f>IFERROR(VLOOKUP(C165,Merchants!$A$2:$D$41,3,FALSE),"Merchant not found")</f>
        <v/>
      </c>
      <c r="K165">
        <f>IFERROR(VLOOKUP(C165,Merchants!$A$2:$D$41,4,FALSE),"Merchant not found")</f>
        <v/>
      </c>
      <c r="L165" s="4">
        <f>HLOOKUP(F165,Fee_Tiers!$B$2:$E$3,2,FALSE)</f>
        <v/>
      </c>
      <c r="M165">
        <f>E165*L165</f>
        <v/>
      </c>
      <c r="N165" s="5" t="n">
        <v>46034</v>
      </c>
      <c r="O165">
        <f>C165&amp;"_"&amp;TEXT(N165,"yyyy-mm-dd")</f>
        <v/>
      </c>
      <c r="P165">
        <f>IFERROR(VLOOKUP(O165,Merchant_Day_Analysis!$A$5:$G$447,7,FALSE),"Not found")</f>
        <v/>
      </c>
    </row>
    <row r="166">
      <c r="A166" t="inlineStr">
        <is>
          <t>TXN100164</t>
        </is>
      </c>
      <c r="B166" t="n">
        <v>189</v>
      </c>
      <c r="C166" t="n">
        <v>17</v>
      </c>
      <c r="D166" s="6" t="n">
        <v>46040.14513888889</v>
      </c>
      <c r="E166" t="n">
        <v>99</v>
      </c>
      <c r="F166" t="inlineStr">
        <is>
          <t>UPI</t>
        </is>
      </c>
      <c r="G166" t="inlineStr">
        <is>
          <t>captured</t>
        </is>
      </c>
      <c r="H166" t="n">
        <v>74</v>
      </c>
      <c r="I166">
        <f>IFERROR(VLOOKUP(C166,Merchants!$A$2:$D$41,2,FALSE),"Merchant not found")</f>
        <v/>
      </c>
      <c r="J166">
        <f>IFERROR(VLOOKUP(C166,Merchants!$A$2:$D$41,3,FALSE),"Merchant not found")</f>
        <v/>
      </c>
      <c r="K166">
        <f>IFERROR(VLOOKUP(C166,Merchants!$A$2:$D$41,4,FALSE),"Merchant not found")</f>
        <v/>
      </c>
      <c r="L166" s="4">
        <f>HLOOKUP(F166,Fee_Tiers!$B$2:$E$3,2,FALSE)</f>
        <v/>
      </c>
      <c r="M166">
        <f>E166*L166</f>
        <v/>
      </c>
      <c r="N166" s="5" t="n">
        <v>46040</v>
      </c>
      <c r="O166">
        <f>C166&amp;"_"&amp;TEXT(N166,"yyyy-mm-dd")</f>
        <v/>
      </c>
      <c r="P166">
        <f>IFERROR(VLOOKUP(O166,Merchant_Day_Analysis!$A$5:$G$447,7,FALSE),"Not found")</f>
        <v/>
      </c>
    </row>
    <row r="167">
      <c r="A167" t="inlineStr">
        <is>
          <t>TXN100165</t>
        </is>
      </c>
      <c r="B167" t="n">
        <v>56</v>
      </c>
      <c r="C167" t="n">
        <v>15</v>
      </c>
      <c r="D167" s="6" t="n">
        <v>46035.84930555556</v>
      </c>
      <c r="E167" t="n">
        <v>299</v>
      </c>
      <c r="F167" t="inlineStr">
        <is>
          <t>UPI</t>
        </is>
      </c>
      <c r="G167" t="inlineStr">
        <is>
          <t>captured</t>
        </is>
      </c>
      <c r="H167" t="n">
        <v>60</v>
      </c>
      <c r="I167">
        <f>IFERROR(VLOOKUP(C167,Merchants!$A$2:$D$41,2,FALSE),"Merchant not found")</f>
        <v/>
      </c>
      <c r="J167">
        <f>IFERROR(VLOOKUP(C167,Merchants!$A$2:$D$41,3,FALSE),"Merchant not found")</f>
        <v/>
      </c>
      <c r="K167">
        <f>IFERROR(VLOOKUP(C167,Merchants!$A$2:$D$41,4,FALSE),"Merchant not found")</f>
        <v/>
      </c>
      <c r="L167" s="4">
        <f>HLOOKUP(F167,Fee_Tiers!$B$2:$E$3,2,FALSE)</f>
        <v/>
      </c>
      <c r="M167">
        <f>E167*L167</f>
        <v/>
      </c>
      <c r="N167" s="5" t="n">
        <v>46035</v>
      </c>
      <c r="O167">
        <f>C167&amp;"_"&amp;TEXT(N167,"yyyy-mm-dd")</f>
        <v/>
      </c>
      <c r="P167">
        <f>IFERROR(VLOOKUP(O167,Merchant_Day_Analysis!$A$5:$G$447,7,FALSE),"Not found")</f>
        <v/>
      </c>
    </row>
    <row r="168">
      <c r="A168" t="inlineStr">
        <is>
          <t>TXN100166</t>
        </is>
      </c>
      <c r="B168" t="n">
        <v>288</v>
      </c>
      <c r="C168" t="n">
        <v>21</v>
      </c>
      <c r="D168" s="6" t="n">
        <v>46023.83055555556</v>
      </c>
      <c r="E168" t="n">
        <v>4999</v>
      </c>
      <c r="F168" t="inlineStr">
        <is>
          <t>Wallet</t>
        </is>
      </c>
      <c r="G168" t="inlineStr">
        <is>
          <t>failed</t>
        </is>
      </c>
      <c r="H168" t="n">
        <v>78</v>
      </c>
      <c r="I168">
        <f>IFERROR(VLOOKUP(C168,Merchants!$A$2:$D$41,2,FALSE),"Merchant not found")</f>
        <v/>
      </c>
      <c r="J168">
        <f>IFERROR(VLOOKUP(C168,Merchants!$A$2:$D$41,3,FALSE),"Merchant not found")</f>
        <v/>
      </c>
      <c r="K168">
        <f>IFERROR(VLOOKUP(C168,Merchants!$A$2:$D$41,4,FALSE),"Merchant not found")</f>
        <v/>
      </c>
      <c r="L168" s="4">
        <f>HLOOKUP(F168,Fee_Tiers!$B$2:$E$3,2,FALSE)</f>
        <v/>
      </c>
      <c r="M168">
        <f>E168*L168</f>
        <v/>
      </c>
      <c r="N168" s="5" t="n">
        <v>46023</v>
      </c>
      <c r="O168">
        <f>C168&amp;"_"&amp;TEXT(N168,"yyyy-mm-dd")</f>
        <v/>
      </c>
      <c r="P168">
        <f>IFERROR(VLOOKUP(O168,Merchant_Day_Analysis!$A$5:$G$447,7,FALSE),"Not found")</f>
        <v/>
      </c>
    </row>
    <row r="169">
      <c r="A169" t="inlineStr">
        <is>
          <t>TXN100167</t>
        </is>
      </c>
      <c r="B169" t="n">
        <v>326</v>
      </c>
      <c r="C169" t="n">
        <v>30</v>
      </c>
      <c r="D169" s="6" t="n">
        <v>46030.83611111111</v>
      </c>
      <c r="E169" t="n">
        <v>99</v>
      </c>
      <c r="F169" t="inlineStr">
        <is>
          <t>Card</t>
        </is>
      </c>
      <c r="G169" t="inlineStr">
        <is>
          <t>captured</t>
        </is>
      </c>
      <c r="H169" t="n">
        <v>89</v>
      </c>
      <c r="I169">
        <f>IFERROR(VLOOKUP(C169,Merchants!$A$2:$D$41,2,FALSE),"Merchant not found")</f>
        <v/>
      </c>
      <c r="J169">
        <f>IFERROR(VLOOKUP(C169,Merchants!$A$2:$D$41,3,FALSE),"Merchant not found")</f>
        <v/>
      </c>
      <c r="K169">
        <f>IFERROR(VLOOKUP(C169,Merchants!$A$2:$D$41,4,FALSE),"Merchant not found")</f>
        <v/>
      </c>
      <c r="L169" s="4">
        <f>HLOOKUP(F169,Fee_Tiers!$B$2:$E$3,2,FALSE)</f>
        <v/>
      </c>
      <c r="M169">
        <f>E169*L169</f>
        <v/>
      </c>
      <c r="N169" s="5" t="n">
        <v>46030</v>
      </c>
      <c r="O169">
        <f>C169&amp;"_"&amp;TEXT(N169,"yyyy-mm-dd")</f>
        <v/>
      </c>
      <c r="P169">
        <f>IFERROR(VLOOKUP(O169,Merchant_Day_Analysis!$A$5:$G$447,7,FALSE),"Not found")</f>
        <v/>
      </c>
    </row>
    <row r="170">
      <c r="A170" t="inlineStr">
        <is>
          <t>TXN100168</t>
        </is>
      </c>
      <c r="B170" t="n">
        <v>60</v>
      </c>
      <c r="C170" t="n">
        <v>9</v>
      </c>
      <c r="D170" s="6" t="n">
        <v>46032.85138888889</v>
      </c>
      <c r="E170" t="n">
        <v>49</v>
      </c>
      <c r="F170" t="inlineStr">
        <is>
          <t>Netbanking</t>
        </is>
      </c>
      <c r="G170" t="inlineStr">
        <is>
          <t>captured</t>
        </is>
      </c>
      <c r="H170" t="n">
        <v>5</v>
      </c>
      <c r="I170">
        <f>IFERROR(VLOOKUP(C170,Merchants!$A$2:$D$41,2,FALSE),"Merchant not found")</f>
        <v/>
      </c>
      <c r="J170">
        <f>IFERROR(VLOOKUP(C170,Merchants!$A$2:$D$41,3,FALSE),"Merchant not found")</f>
        <v/>
      </c>
      <c r="K170">
        <f>IFERROR(VLOOKUP(C170,Merchants!$A$2:$D$41,4,FALSE),"Merchant not found")</f>
        <v/>
      </c>
      <c r="L170" s="4">
        <f>HLOOKUP(F170,Fee_Tiers!$B$2:$E$3,2,FALSE)</f>
        <v/>
      </c>
      <c r="M170">
        <f>E170*L170</f>
        <v/>
      </c>
      <c r="N170" s="5" t="n">
        <v>46032</v>
      </c>
      <c r="O170">
        <f>C170&amp;"_"&amp;TEXT(N170,"yyyy-mm-dd")</f>
        <v/>
      </c>
      <c r="P170">
        <f>IFERROR(VLOOKUP(O170,Merchant_Day_Analysis!$A$5:$G$447,7,FALSE),"Not found")</f>
        <v/>
      </c>
    </row>
    <row r="171">
      <c r="A171" t="inlineStr">
        <is>
          <t>TXN100169</t>
        </is>
      </c>
      <c r="B171" t="n">
        <v>60</v>
      </c>
      <c r="C171" t="n">
        <v>7</v>
      </c>
      <c r="D171" s="6" t="n">
        <v>46024.39652777778</v>
      </c>
      <c r="E171" t="n">
        <v>2999</v>
      </c>
      <c r="F171" t="inlineStr">
        <is>
          <t>Wallet</t>
        </is>
      </c>
      <c r="G171" t="inlineStr">
        <is>
          <t>captured</t>
        </is>
      </c>
      <c r="H171" t="n">
        <v>30</v>
      </c>
      <c r="I171">
        <f>IFERROR(VLOOKUP(C171,Merchants!$A$2:$D$41,2,FALSE),"Merchant not found")</f>
        <v/>
      </c>
      <c r="J171">
        <f>IFERROR(VLOOKUP(C171,Merchants!$A$2:$D$41,3,FALSE),"Merchant not found")</f>
        <v/>
      </c>
      <c r="K171">
        <f>IFERROR(VLOOKUP(C171,Merchants!$A$2:$D$41,4,FALSE),"Merchant not found")</f>
        <v/>
      </c>
      <c r="L171" s="4">
        <f>HLOOKUP(F171,Fee_Tiers!$B$2:$E$3,2,FALSE)</f>
        <v/>
      </c>
      <c r="M171">
        <f>E171*L171</f>
        <v/>
      </c>
      <c r="N171" s="5" t="n">
        <v>46024</v>
      </c>
      <c r="O171">
        <f>C171&amp;"_"&amp;TEXT(N171,"yyyy-mm-dd")</f>
        <v/>
      </c>
      <c r="P171">
        <f>IFERROR(VLOOKUP(O171,Merchant_Day_Analysis!$A$5:$G$447,7,FALSE),"Not found")</f>
        <v/>
      </c>
    </row>
    <row r="172">
      <c r="A172" t="inlineStr">
        <is>
          <t>TXN100170</t>
        </is>
      </c>
      <c r="B172" t="n">
        <v>199</v>
      </c>
      <c r="C172" t="n">
        <v>30</v>
      </c>
      <c r="D172" s="6" t="n">
        <v>46051.71388888889</v>
      </c>
      <c r="E172" t="n">
        <v>149</v>
      </c>
      <c r="F172" t="inlineStr">
        <is>
          <t>Netbanking</t>
        </is>
      </c>
      <c r="G172" t="inlineStr">
        <is>
          <t>captured</t>
        </is>
      </c>
      <c r="H172" t="n">
        <v>47</v>
      </c>
      <c r="I172">
        <f>IFERROR(VLOOKUP(C172,Merchants!$A$2:$D$41,2,FALSE),"Merchant not found")</f>
        <v/>
      </c>
      <c r="J172">
        <f>IFERROR(VLOOKUP(C172,Merchants!$A$2:$D$41,3,FALSE),"Merchant not found")</f>
        <v/>
      </c>
      <c r="K172">
        <f>IFERROR(VLOOKUP(C172,Merchants!$A$2:$D$41,4,FALSE),"Merchant not found")</f>
        <v/>
      </c>
      <c r="L172" s="4">
        <f>HLOOKUP(F172,Fee_Tiers!$B$2:$E$3,2,FALSE)</f>
        <v/>
      </c>
      <c r="M172">
        <f>E172*L172</f>
        <v/>
      </c>
      <c r="N172" s="5" t="n">
        <v>46051</v>
      </c>
      <c r="O172">
        <f>C172&amp;"_"&amp;TEXT(N172,"yyyy-mm-dd")</f>
        <v/>
      </c>
      <c r="P172">
        <f>IFERROR(VLOOKUP(O172,Merchant_Day_Analysis!$A$5:$G$447,7,FALSE),"Not found")</f>
        <v/>
      </c>
    </row>
    <row r="173">
      <c r="A173" t="inlineStr">
        <is>
          <t>TXN100171</t>
        </is>
      </c>
      <c r="B173" t="n">
        <v>277</v>
      </c>
      <c r="C173" t="n">
        <v>27</v>
      </c>
      <c r="D173" s="6" t="n">
        <v>46044.98888888889</v>
      </c>
      <c r="E173" t="n">
        <v>49</v>
      </c>
      <c r="F173" t="inlineStr">
        <is>
          <t>UPI</t>
        </is>
      </c>
      <c r="G173" t="inlineStr">
        <is>
          <t>captured</t>
        </is>
      </c>
      <c r="H173" t="n">
        <v>75</v>
      </c>
      <c r="I173">
        <f>IFERROR(VLOOKUP(C173,Merchants!$A$2:$D$41,2,FALSE),"Merchant not found")</f>
        <v/>
      </c>
      <c r="J173">
        <f>IFERROR(VLOOKUP(C173,Merchants!$A$2:$D$41,3,FALSE),"Merchant not found")</f>
        <v/>
      </c>
      <c r="K173">
        <f>IFERROR(VLOOKUP(C173,Merchants!$A$2:$D$41,4,FALSE),"Merchant not found")</f>
        <v/>
      </c>
      <c r="L173" s="4">
        <f>HLOOKUP(F173,Fee_Tiers!$B$2:$E$3,2,FALSE)</f>
        <v/>
      </c>
      <c r="M173">
        <f>E173*L173</f>
        <v/>
      </c>
      <c r="N173" s="5" t="n">
        <v>46044</v>
      </c>
      <c r="O173">
        <f>C173&amp;"_"&amp;TEXT(N173,"yyyy-mm-dd")</f>
        <v/>
      </c>
      <c r="P173">
        <f>IFERROR(VLOOKUP(O173,Merchant_Day_Analysis!$A$5:$G$447,7,FALSE),"Not found")</f>
        <v/>
      </c>
    </row>
    <row r="174">
      <c r="A174" t="inlineStr">
        <is>
          <t>TXN100172</t>
        </is>
      </c>
      <c r="B174" t="n">
        <v>213</v>
      </c>
      <c r="C174" t="n">
        <v>7</v>
      </c>
      <c r="D174" s="6" t="n">
        <v>46046.96458333333</v>
      </c>
      <c r="E174" t="n">
        <v>799</v>
      </c>
      <c r="F174" t="inlineStr">
        <is>
          <t>Netbanking</t>
        </is>
      </c>
      <c r="G174" t="inlineStr">
        <is>
          <t>captured</t>
        </is>
      </c>
      <c r="H174" t="n">
        <v>62</v>
      </c>
      <c r="I174">
        <f>IFERROR(VLOOKUP(C174,Merchants!$A$2:$D$41,2,FALSE),"Merchant not found")</f>
        <v/>
      </c>
      <c r="J174">
        <f>IFERROR(VLOOKUP(C174,Merchants!$A$2:$D$41,3,FALSE),"Merchant not found")</f>
        <v/>
      </c>
      <c r="K174">
        <f>IFERROR(VLOOKUP(C174,Merchants!$A$2:$D$41,4,FALSE),"Merchant not found")</f>
        <v/>
      </c>
      <c r="L174" s="4">
        <f>HLOOKUP(F174,Fee_Tiers!$B$2:$E$3,2,FALSE)</f>
        <v/>
      </c>
      <c r="M174">
        <f>E174*L174</f>
        <v/>
      </c>
      <c r="N174" s="5" t="n">
        <v>46046</v>
      </c>
      <c r="O174">
        <f>C174&amp;"_"&amp;TEXT(N174,"yyyy-mm-dd")</f>
        <v/>
      </c>
      <c r="P174">
        <f>IFERROR(VLOOKUP(O174,Merchant_Day_Analysis!$A$5:$G$447,7,FALSE),"Not found")</f>
        <v/>
      </c>
    </row>
    <row r="175">
      <c r="A175" t="inlineStr">
        <is>
          <t>TXN100173</t>
        </is>
      </c>
      <c r="B175" t="n">
        <v>17</v>
      </c>
      <c r="C175" t="n">
        <v>24</v>
      </c>
      <c r="D175" s="6" t="n">
        <v>46042.55347222222</v>
      </c>
      <c r="E175" t="n">
        <v>299</v>
      </c>
      <c r="F175" t="inlineStr">
        <is>
          <t>UPI</t>
        </is>
      </c>
      <c r="G175" t="inlineStr">
        <is>
          <t>captured</t>
        </is>
      </c>
      <c r="H175" t="n">
        <v>27</v>
      </c>
      <c r="I175">
        <f>IFERROR(VLOOKUP(C175,Merchants!$A$2:$D$41,2,FALSE),"Merchant not found")</f>
        <v/>
      </c>
      <c r="J175">
        <f>IFERROR(VLOOKUP(C175,Merchants!$A$2:$D$41,3,FALSE),"Merchant not found")</f>
        <v/>
      </c>
      <c r="K175">
        <f>IFERROR(VLOOKUP(C175,Merchants!$A$2:$D$41,4,FALSE),"Merchant not found")</f>
        <v/>
      </c>
      <c r="L175" s="4">
        <f>HLOOKUP(F175,Fee_Tiers!$B$2:$E$3,2,FALSE)</f>
        <v/>
      </c>
      <c r="M175">
        <f>E175*L175</f>
        <v/>
      </c>
      <c r="N175" s="5" t="n">
        <v>46042</v>
      </c>
      <c r="O175">
        <f>C175&amp;"_"&amp;TEXT(N175,"yyyy-mm-dd")</f>
        <v/>
      </c>
      <c r="P175">
        <f>IFERROR(VLOOKUP(O175,Merchant_Day_Analysis!$A$5:$G$447,7,FALSE),"Not found")</f>
        <v/>
      </c>
    </row>
    <row r="176">
      <c r="A176" t="inlineStr">
        <is>
          <t>TXN100174</t>
        </is>
      </c>
      <c r="B176" t="n">
        <v>186</v>
      </c>
      <c r="C176" t="n">
        <v>7</v>
      </c>
      <c r="D176" s="6" t="n">
        <v>46037.59375</v>
      </c>
      <c r="E176" t="n">
        <v>1499</v>
      </c>
      <c r="F176" t="inlineStr">
        <is>
          <t>Card</t>
        </is>
      </c>
      <c r="G176" t="inlineStr">
        <is>
          <t>failed</t>
        </is>
      </c>
      <c r="H176" t="n">
        <v>87</v>
      </c>
      <c r="I176">
        <f>IFERROR(VLOOKUP(C176,Merchants!$A$2:$D$41,2,FALSE),"Merchant not found")</f>
        <v/>
      </c>
      <c r="J176">
        <f>IFERROR(VLOOKUP(C176,Merchants!$A$2:$D$41,3,FALSE),"Merchant not found")</f>
        <v/>
      </c>
      <c r="K176">
        <f>IFERROR(VLOOKUP(C176,Merchants!$A$2:$D$41,4,FALSE),"Merchant not found")</f>
        <v/>
      </c>
      <c r="L176" s="4">
        <f>HLOOKUP(F176,Fee_Tiers!$B$2:$E$3,2,FALSE)</f>
        <v/>
      </c>
      <c r="M176">
        <f>E176*L176</f>
        <v/>
      </c>
      <c r="N176" s="5" t="n">
        <v>46037</v>
      </c>
      <c r="O176">
        <f>C176&amp;"_"&amp;TEXT(N176,"yyyy-mm-dd")</f>
        <v/>
      </c>
      <c r="P176">
        <f>IFERROR(VLOOKUP(O176,Merchant_Day_Analysis!$A$5:$G$447,7,FALSE),"Not found")</f>
        <v/>
      </c>
    </row>
    <row r="177">
      <c r="A177" t="inlineStr">
        <is>
          <t>TXN100175</t>
        </is>
      </c>
      <c r="B177" t="n">
        <v>331</v>
      </c>
      <c r="C177" t="n">
        <v>23</v>
      </c>
      <c r="D177" s="6" t="n">
        <v>46034.74791666667</v>
      </c>
      <c r="E177" t="n">
        <v>149</v>
      </c>
      <c r="F177" t="inlineStr">
        <is>
          <t>UPI</t>
        </is>
      </c>
      <c r="G177" t="inlineStr">
        <is>
          <t>captured</t>
        </is>
      </c>
      <c r="H177" t="n">
        <v>7</v>
      </c>
      <c r="I177">
        <f>IFERROR(VLOOKUP(C177,Merchants!$A$2:$D$41,2,FALSE),"Merchant not found")</f>
        <v/>
      </c>
      <c r="J177">
        <f>IFERROR(VLOOKUP(C177,Merchants!$A$2:$D$41,3,FALSE),"Merchant not found")</f>
        <v/>
      </c>
      <c r="K177">
        <f>IFERROR(VLOOKUP(C177,Merchants!$A$2:$D$41,4,FALSE),"Merchant not found")</f>
        <v/>
      </c>
      <c r="L177" s="4">
        <f>HLOOKUP(F177,Fee_Tiers!$B$2:$E$3,2,FALSE)</f>
        <v/>
      </c>
      <c r="M177">
        <f>E177*L177</f>
        <v/>
      </c>
      <c r="N177" s="5" t="n">
        <v>46034</v>
      </c>
      <c r="O177">
        <f>C177&amp;"_"&amp;TEXT(N177,"yyyy-mm-dd")</f>
        <v/>
      </c>
      <c r="P177">
        <f>IFERROR(VLOOKUP(O177,Merchant_Day_Analysis!$A$5:$G$447,7,FALSE),"Not found")</f>
        <v/>
      </c>
    </row>
    <row r="178">
      <c r="A178" t="inlineStr">
        <is>
          <t>TXN100176</t>
        </is>
      </c>
      <c r="B178" t="n">
        <v>63</v>
      </c>
      <c r="C178" t="n">
        <v>30</v>
      </c>
      <c r="D178" s="6" t="n">
        <v>46035.34166666667</v>
      </c>
      <c r="E178" t="n">
        <v>1499</v>
      </c>
      <c r="F178" t="inlineStr">
        <is>
          <t>Card</t>
        </is>
      </c>
      <c r="G178" t="inlineStr">
        <is>
          <t>captured</t>
        </is>
      </c>
      <c r="H178" t="n">
        <v>11</v>
      </c>
      <c r="I178">
        <f>IFERROR(VLOOKUP(C178,Merchants!$A$2:$D$41,2,FALSE),"Merchant not found")</f>
        <v/>
      </c>
      <c r="J178">
        <f>IFERROR(VLOOKUP(C178,Merchants!$A$2:$D$41,3,FALSE),"Merchant not found")</f>
        <v/>
      </c>
      <c r="K178">
        <f>IFERROR(VLOOKUP(C178,Merchants!$A$2:$D$41,4,FALSE),"Merchant not found")</f>
        <v/>
      </c>
      <c r="L178" s="4">
        <f>HLOOKUP(F178,Fee_Tiers!$B$2:$E$3,2,FALSE)</f>
        <v/>
      </c>
      <c r="M178">
        <f>E178*L178</f>
        <v/>
      </c>
      <c r="N178" s="5" t="n">
        <v>46035</v>
      </c>
      <c r="O178">
        <f>C178&amp;"_"&amp;TEXT(N178,"yyyy-mm-dd")</f>
        <v/>
      </c>
      <c r="P178">
        <f>IFERROR(VLOOKUP(O178,Merchant_Day_Analysis!$A$5:$G$447,7,FALSE),"Not found")</f>
        <v/>
      </c>
    </row>
    <row r="179">
      <c r="A179" t="inlineStr">
        <is>
          <t>TXN100177</t>
        </is>
      </c>
      <c r="B179" t="n">
        <v>328</v>
      </c>
      <c r="C179" t="n">
        <v>39</v>
      </c>
      <c r="D179" s="6" t="n">
        <v>46044.27847222222</v>
      </c>
      <c r="E179" t="n">
        <v>4999</v>
      </c>
      <c r="F179" t="inlineStr">
        <is>
          <t>Wallet</t>
        </is>
      </c>
      <c r="G179" t="inlineStr">
        <is>
          <t>chargeback</t>
        </is>
      </c>
      <c r="H179" t="n">
        <v>2</v>
      </c>
      <c r="I179">
        <f>IFERROR(VLOOKUP(C179,Merchants!$A$2:$D$41,2,FALSE),"Merchant not found")</f>
        <v/>
      </c>
      <c r="J179">
        <f>IFERROR(VLOOKUP(C179,Merchants!$A$2:$D$41,3,FALSE),"Merchant not found")</f>
        <v/>
      </c>
      <c r="K179">
        <f>IFERROR(VLOOKUP(C179,Merchants!$A$2:$D$41,4,FALSE),"Merchant not found")</f>
        <v/>
      </c>
      <c r="L179" s="4">
        <f>HLOOKUP(F179,Fee_Tiers!$B$2:$E$3,2,FALSE)</f>
        <v/>
      </c>
      <c r="M179">
        <f>E179*L179</f>
        <v/>
      </c>
      <c r="N179" s="5" t="n">
        <v>46044</v>
      </c>
      <c r="O179">
        <f>C179&amp;"_"&amp;TEXT(N179,"yyyy-mm-dd")</f>
        <v/>
      </c>
      <c r="P179">
        <f>IFERROR(VLOOKUP(O179,Merchant_Day_Analysis!$A$5:$G$447,7,FALSE),"Not found")</f>
        <v/>
      </c>
    </row>
    <row r="180">
      <c r="A180" t="inlineStr">
        <is>
          <t>TXN100178</t>
        </is>
      </c>
      <c r="B180" t="n">
        <v>65</v>
      </c>
      <c r="C180" t="n">
        <v>37</v>
      </c>
      <c r="D180" s="6" t="n">
        <v>46024.42708333334</v>
      </c>
      <c r="E180" t="n">
        <v>2999</v>
      </c>
      <c r="F180" t="inlineStr">
        <is>
          <t>Card</t>
        </is>
      </c>
      <c r="G180" t="inlineStr">
        <is>
          <t>captured</t>
        </is>
      </c>
      <c r="H180" t="n">
        <v>26</v>
      </c>
      <c r="I180">
        <f>IFERROR(VLOOKUP(C180,Merchants!$A$2:$D$41,2,FALSE),"Merchant not found")</f>
        <v/>
      </c>
      <c r="J180">
        <f>IFERROR(VLOOKUP(C180,Merchants!$A$2:$D$41,3,FALSE),"Merchant not found")</f>
        <v/>
      </c>
      <c r="K180">
        <f>IFERROR(VLOOKUP(C180,Merchants!$A$2:$D$41,4,FALSE),"Merchant not found")</f>
        <v/>
      </c>
      <c r="L180" s="4">
        <f>HLOOKUP(F180,Fee_Tiers!$B$2:$E$3,2,FALSE)</f>
        <v/>
      </c>
      <c r="M180">
        <f>E180*L180</f>
        <v/>
      </c>
      <c r="N180" s="5" t="n">
        <v>46024</v>
      </c>
      <c r="O180">
        <f>C180&amp;"_"&amp;TEXT(N180,"yyyy-mm-dd")</f>
        <v/>
      </c>
      <c r="P180">
        <f>IFERROR(VLOOKUP(O180,Merchant_Day_Analysis!$A$5:$G$447,7,FALSE),"Not found")</f>
        <v/>
      </c>
    </row>
    <row r="181">
      <c r="A181" t="inlineStr">
        <is>
          <t>TXN100179</t>
        </is>
      </c>
      <c r="B181" t="n">
        <v>301</v>
      </c>
      <c r="C181" t="n">
        <v>14</v>
      </c>
      <c r="D181" s="6" t="n">
        <v>46025.71736111111</v>
      </c>
      <c r="E181" t="n">
        <v>149</v>
      </c>
      <c r="F181" t="inlineStr">
        <is>
          <t>UPI</t>
        </is>
      </c>
      <c r="G181" t="inlineStr">
        <is>
          <t>captured</t>
        </is>
      </c>
      <c r="H181" t="n">
        <v>29</v>
      </c>
      <c r="I181">
        <f>IFERROR(VLOOKUP(C181,Merchants!$A$2:$D$41,2,FALSE),"Merchant not found")</f>
        <v/>
      </c>
      <c r="J181">
        <f>IFERROR(VLOOKUP(C181,Merchants!$A$2:$D$41,3,FALSE),"Merchant not found")</f>
        <v/>
      </c>
      <c r="K181">
        <f>IFERROR(VLOOKUP(C181,Merchants!$A$2:$D$41,4,FALSE),"Merchant not found")</f>
        <v/>
      </c>
      <c r="L181" s="4">
        <f>HLOOKUP(F181,Fee_Tiers!$B$2:$E$3,2,FALSE)</f>
        <v/>
      </c>
      <c r="M181">
        <f>E181*L181</f>
        <v/>
      </c>
      <c r="N181" s="5" t="n">
        <v>46025</v>
      </c>
      <c r="O181">
        <f>C181&amp;"_"&amp;TEXT(N181,"yyyy-mm-dd")</f>
        <v/>
      </c>
      <c r="P181">
        <f>IFERROR(VLOOKUP(O181,Merchant_Day_Analysis!$A$5:$G$447,7,FALSE),"Not found")</f>
        <v/>
      </c>
    </row>
    <row r="182">
      <c r="A182" t="inlineStr">
        <is>
          <t>TXN100180</t>
        </is>
      </c>
      <c r="B182" t="n">
        <v>306</v>
      </c>
      <c r="C182" t="n">
        <v>1</v>
      </c>
      <c r="D182" s="6" t="n">
        <v>46033.20138888889</v>
      </c>
      <c r="E182" t="n">
        <v>299</v>
      </c>
      <c r="F182" t="inlineStr">
        <is>
          <t>UPI</t>
        </is>
      </c>
      <c r="G182" t="inlineStr">
        <is>
          <t>failed</t>
        </is>
      </c>
      <c r="H182" t="n">
        <v>35</v>
      </c>
      <c r="I182">
        <f>IFERROR(VLOOKUP(C182,Merchants!$A$2:$D$41,2,FALSE),"Merchant not found")</f>
        <v/>
      </c>
      <c r="J182">
        <f>IFERROR(VLOOKUP(C182,Merchants!$A$2:$D$41,3,FALSE),"Merchant not found")</f>
        <v/>
      </c>
      <c r="K182">
        <f>IFERROR(VLOOKUP(C182,Merchants!$A$2:$D$41,4,FALSE),"Merchant not found")</f>
        <v/>
      </c>
      <c r="L182" s="4">
        <f>HLOOKUP(F182,Fee_Tiers!$B$2:$E$3,2,FALSE)</f>
        <v/>
      </c>
      <c r="M182">
        <f>E182*L182</f>
        <v/>
      </c>
      <c r="N182" s="5" t="n">
        <v>46033</v>
      </c>
      <c r="O182">
        <f>C182&amp;"_"&amp;TEXT(N182,"yyyy-mm-dd")</f>
        <v/>
      </c>
      <c r="P182">
        <f>IFERROR(VLOOKUP(O182,Merchant_Day_Analysis!$A$5:$G$447,7,FALSE),"Not found")</f>
        <v/>
      </c>
    </row>
    <row r="183">
      <c r="A183" t="inlineStr">
        <is>
          <t>TXN100181</t>
        </is>
      </c>
      <c r="B183" t="n">
        <v>277</v>
      </c>
      <c r="C183" t="n">
        <v>17</v>
      </c>
      <c r="D183" s="6" t="n">
        <v>46050.17222222222</v>
      </c>
      <c r="E183" t="n">
        <v>299</v>
      </c>
      <c r="F183" t="inlineStr">
        <is>
          <t>UPI</t>
        </is>
      </c>
      <c r="G183" t="inlineStr">
        <is>
          <t>captured</t>
        </is>
      </c>
      <c r="H183" t="n">
        <v>22</v>
      </c>
      <c r="I183">
        <f>IFERROR(VLOOKUP(C183,Merchants!$A$2:$D$41,2,FALSE),"Merchant not found")</f>
        <v/>
      </c>
      <c r="J183">
        <f>IFERROR(VLOOKUP(C183,Merchants!$A$2:$D$41,3,FALSE),"Merchant not found")</f>
        <v/>
      </c>
      <c r="K183">
        <f>IFERROR(VLOOKUP(C183,Merchants!$A$2:$D$41,4,FALSE),"Merchant not found")</f>
        <v/>
      </c>
      <c r="L183" s="4">
        <f>HLOOKUP(F183,Fee_Tiers!$B$2:$E$3,2,FALSE)</f>
        <v/>
      </c>
      <c r="M183">
        <f>E183*L183</f>
        <v/>
      </c>
      <c r="N183" s="5" t="n">
        <v>46050</v>
      </c>
      <c r="O183">
        <f>C183&amp;"_"&amp;TEXT(N183,"yyyy-mm-dd")</f>
        <v/>
      </c>
      <c r="P183">
        <f>IFERROR(VLOOKUP(O183,Merchant_Day_Analysis!$A$5:$G$447,7,FALSE),"Not found")</f>
        <v/>
      </c>
    </row>
    <row r="184">
      <c r="A184" t="inlineStr">
        <is>
          <t>TXN100182</t>
        </is>
      </c>
      <c r="B184" t="n">
        <v>14</v>
      </c>
      <c r="C184" t="n">
        <v>9</v>
      </c>
      <c r="D184" s="6" t="n">
        <v>46026.91319444445</v>
      </c>
      <c r="E184" t="n">
        <v>499</v>
      </c>
      <c r="F184" t="inlineStr">
        <is>
          <t>UPI</t>
        </is>
      </c>
      <c r="G184" t="inlineStr">
        <is>
          <t>captured</t>
        </is>
      </c>
      <c r="H184" t="n">
        <v>1</v>
      </c>
      <c r="I184">
        <f>IFERROR(VLOOKUP(C184,Merchants!$A$2:$D$41,2,FALSE),"Merchant not found")</f>
        <v/>
      </c>
      <c r="J184">
        <f>IFERROR(VLOOKUP(C184,Merchants!$A$2:$D$41,3,FALSE),"Merchant not found")</f>
        <v/>
      </c>
      <c r="K184">
        <f>IFERROR(VLOOKUP(C184,Merchants!$A$2:$D$41,4,FALSE),"Merchant not found")</f>
        <v/>
      </c>
      <c r="L184" s="4">
        <f>HLOOKUP(F184,Fee_Tiers!$B$2:$E$3,2,FALSE)</f>
        <v/>
      </c>
      <c r="M184">
        <f>E184*L184</f>
        <v/>
      </c>
      <c r="N184" s="5" t="n">
        <v>46026</v>
      </c>
      <c r="O184">
        <f>C184&amp;"_"&amp;TEXT(N184,"yyyy-mm-dd")</f>
        <v/>
      </c>
      <c r="P184">
        <f>IFERROR(VLOOKUP(O184,Merchant_Day_Analysis!$A$5:$G$447,7,FALSE),"Not found")</f>
        <v/>
      </c>
    </row>
    <row r="185">
      <c r="A185" t="inlineStr">
        <is>
          <t>TXN100183</t>
        </is>
      </c>
      <c r="B185" t="n">
        <v>166</v>
      </c>
      <c r="C185" t="n">
        <v>2</v>
      </c>
      <c r="D185" s="6" t="n">
        <v>46034.31736111111</v>
      </c>
      <c r="E185" t="n">
        <v>299</v>
      </c>
      <c r="F185" t="inlineStr">
        <is>
          <t>Card</t>
        </is>
      </c>
      <c r="G185" t="inlineStr">
        <is>
          <t>captured</t>
        </is>
      </c>
      <c r="H185" t="n">
        <v>22</v>
      </c>
      <c r="I185">
        <f>IFERROR(VLOOKUP(C185,Merchants!$A$2:$D$41,2,FALSE),"Merchant not found")</f>
        <v/>
      </c>
      <c r="J185">
        <f>IFERROR(VLOOKUP(C185,Merchants!$A$2:$D$41,3,FALSE),"Merchant not found")</f>
        <v/>
      </c>
      <c r="K185">
        <f>IFERROR(VLOOKUP(C185,Merchants!$A$2:$D$41,4,FALSE),"Merchant not found")</f>
        <v/>
      </c>
      <c r="L185" s="4">
        <f>HLOOKUP(F185,Fee_Tiers!$B$2:$E$3,2,FALSE)</f>
        <v/>
      </c>
      <c r="M185">
        <f>E185*L185</f>
        <v/>
      </c>
      <c r="N185" s="5" t="n">
        <v>46034</v>
      </c>
      <c r="O185">
        <f>C185&amp;"_"&amp;TEXT(N185,"yyyy-mm-dd")</f>
        <v/>
      </c>
      <c r="P185">
        <f>IFERROR(VLOOKUP(O185,Merchant_Day_Analysis!$A$5:$G$447,7,FALSE),"Not found")</f>
        <v/>
      </c>
    </row>
    <row r="186">
      <c r="A186" t="inlineStr">
        <is>
          <t>TXN100184</t>
        </is>
      </c>
      <c r="B186" t="n">
        <v>216</v>
      </c>
      <c r="C186" t="n">
        <v>34</v>
      </c>
      <c r="D186" s="6" t="n">
        <v>46031.04722222222</v>
      </c>
      <c r="E186" t="n">
        <v>299</v>
      </c>
      <c r="F186" t="inlineStr">
        <is>
          <t>Card</t>
        </is>
      </c>
      <c r="G186" t="inlineStr">
        <is>
          <t>captured</t>
        </is>
      </c>
      <c r="H186" t="n">
        <v>14</v>
      </c>
      <c r="I186">
        <f>IFERROR(VLOOKUP(C186,Merchants!$A$2:$D$41,2,FALSE),"Merchant not found")</f>
        <v/>
      </c>
      <c r="J186">
        <f>IFERROR(VLOOKUP(C186,Merchants!$A$2:$D$41,3,FALSE),"Merchant not found")</f>
        <v/>
      </c>
      <c r="K186">
        <f>IFERROR(VLOOKUP(C186,Merchants!$A$2:$D$41,4,FALSE),"Merchant not found")</f>
        <v/>
      </c>
      <c r="L186" s="4">
        <f>HLOOKUP(F186,Fee_Tiers!$B$2:$E$3,2,FALSE)</f>
        <v/>
      </c>
      <c r="M186">
        <f>E186*L186</f>
        <v/>
      </c>
      <c r="N186" s="5" t="n">
        <v>46031</v>
      </c>
      <c r="O186">
        <f>C186&amp;"_"&amp;TEXT(N186,"yyyy-mm-dd")</f>
        <v/>
      </c>
      <c r="P186">
        <f>IFERROR(VLOOKUP(O186,Merchant_Day_Analysis!$A$5:$G$447,7,FALSE),"Not found")</f>
        <v/>
      </c>
    </row>
    <row r="187">
      <c r="A187" t="inlineStr">
        <is>
          <t>TXN100185</t>
        </is>
      </c>
      <c r="B187" t="n">
        <v>230</v>
      </c>
      <c r="C187" t="n">
        <v>24</v>
      </c>
      <c r="D187" s="6" t="n">
        <v>46046.10416666666</v>
      </c>
      <c r="E187" t="n">
        <v>49</v>
      </c>
      <c r="F187" t="inlineStr">
        <is>
          <t>UPI</t>
        </is>
      </c>
      <c r="G187" t="inlineStr">
        <is>
          <t>captured</t>
        </is>
      </c>
      <c r="H187" t="n">
        <v>65</v>
      </c>
      <c r="I187">
        <f>IFERROR(VLOOKUP(C187,Merchants!$A$2:$D$41,2,FALSE),"Merchant not found")</f>
        <v/>
      </c>
      <c r="J187">
        <f>IFERROR(VLOOKUP(C187,Merchants!$A$2:$D$41,3,FALSE),"Merchant not found")</f>
        <v/>
      </c>
      <c r="K187">
        <f>IFERROR(VLOOKUP(C187,Merchants!$A$2:$D$41,4,FALSE),"Merchant not found")</f>
        <v/>
      </c>
      <c r="L187" s="4">
        <f>HLOOKUP(F187,Fee_Tiers!$B$2:$E$3,2,FALSE)</f>
        <v/>
      </c>
      <c r="M187">
        <f>E187*L187</f>
        <v/>
      </c>
      <c r="N187" s="5" t="n">
        <v>46046</v>
      </c>
      <c r="O187">
        <f>C187&amp;"_"&amp;TEXT(N187,"yyyy-mm-dd")</f>
        <v/>
      </c>
      <c r="P187">
        <f>IFERROR(VLOOKUP(O187,Merchant_Day_Analysis!$A$5:$G$447,7,FALSE),"Not found")</f>
        <v/>
      </c>
    </row>
    <row r="188">
      <c r="A188" t="inlineStr">
        <is>
          <t>TXN100186</t>
        </is>
      </c>
      <c r="B188" t="n">
        <v>258</v>
      </c>
      <c r="C188" t="n">
        <v>15</v>
      </c>
      <c r="D188" s="6" t="n">
        <v>46041.14444444444</v>
      </c>
      <c r="E188" t="n">
        <v>499</v>
      </c>
      <c r="F188" t="inlineStr">
        <is>
          <t>Wallet</t>
        </is>
      </c>
      <c r="G188" t="inlineStr">
        <is>
          <t>captured</t>
        </is>
      </c>
      <c r="H188" t="n">
        <v>78</v>
      </c>
      <c r="I188">
        <f>IFERROR(VLOOKUP(C188,Merchants!$A$2:$D$41,2,FALSE),"Merchant not found")</f>
        <v/>
      </c>
      <c r="J188">
        <f>IFERROR(VLOOKUP(C188,Merchants!$A$2:$D$41,3,FALSE),"Merchant not found")</f>
        <v/>
      </c>
      <c r="K188">
        <f>IFERROR(VLOOKUP(C188,Merchants!$A$2:$D$41,4,FALSE),"Merchant not found")</f>
        <v/>
      </c>
      <c r="L188" s="4">
        <f>HLOOKUP(F188,Fee_Tiers!$B$2:$E$3,2,FALSE)</f>
        <v/>
      </c>
      <c r="M188">
        <f>E188*L188</f>
        <v/>
      </c>
      <c r="N188" s="5" t="n">
        <v>46041</v>
      </c>
      <c r="O188">
        <f>C188&amp;"_"&amp;TEXT(N188,"yyyy-mm-dd")</f>
        <v/>
      </c>
      <c r="P188">
        <f>IFERROR(VLOOKUP(O188,Merchant_Day_Analysis!$A$5:$G$447,7,FALSE),"Not found")</f>
        <v/>
      </c>
    </row>
    <row r="189">
      <c r="A189" t="inlineStr">
        <is>
          <t>TXN100187</t>
        </is>
      </c>
      <c r="B189" t="n">
        <v>338</v>
      </c>
      <c r="C189" t="n">
        <v>34</v>
      </c>
      <c r="D189" s="6" t="n">
        <v>46024.99305555555</v>
      </c>
      <c r="E189" t="n">
        <v>49</v>
      </c>
      <c r="F189" t="inlineStr">
        <is>
          <t>UPI</t>
        </is>
      </c>
      <c r="G189" t="inlineStr">
        <is>
          <t>captured</t>
        </is>
      </c>
      <c r="H189" t="n">
        <v>38</v>
      </c>
      <c r="I189">
        <f>IFERROR(VLOOKUP(C189,Merchants!$A$2:$D$41,2,FALSE),"Merchant not found")</f>
        <v/>
      </c>
      <c r="J189">
        <f>IFERROR(VLOOKUP(C189,Merchants!$A$2:$D$41,3,FALSE),"Merchant not found")</f>
        <v/>
      </c>
      <c r="K189">
        <f>IFERROR(VLOOKUP(C189,Merchants!$A$2:$D$41,4,FALSE),"Merchant not found")</f>
        <v/>
      </c>
      <c r="L189" s="4">
        <f>HLOOKUP(F189,Fee_Tiers!$B$2:$E$3,2,FALSE)</f>
        <v/>
      </c>
      <c r="M189">
        <f>E189*L189</f>
        <v/>
      </c>
      <c r="N189" s="5" t="n">
        <v>46024</v>
      </c>
      <c r="O189">
        <f>C189&amp;"_"&amp;TEXT(N189,"yyyy-mm-dd")</f>
        <v/>
      </c>
      <c r="P189">
        <f>IFERROR(VLOOKUP(O189,Merchant_Day_Analysis!$A$5:$G$447,7,FALSE),"Not found")</f>
        <v/>
      </c>
    </row>
    <row r="190">
      <c r="A190" t="inlineStr">
        <is>
          <t>TXN100188</t>
        </is>
      </c>
      <c r="B190" t="n">
        <v>32</v>
      </c>
      <c r="C190" t="n">
        <v>31</v>
      </c>
      <c r="D190" s="6" t="n">
        <v>46037.83402777778</v>
      </c>
      <c r="E190" t="n">
        <v>299</v>
      </c>
      <c r="F190" t="inlineStr">
        <is>
          <t>UPI</t>
        </is>
      </c>
      <c r="G190" t="inlineStr">
        <is>
          <t>captured</t>
        </is>
      </c>
      <c r="H190" t="n">
        <v>51</v>
      </c>
      <c r="I190">
        <f>IFERROR(VLOOKUP(C190,Merchants!$A$2:$D$41,2,FALSE),"Merchant not found")</f>
        <v/>
      </c>
      <c r="J190">
        <f>IFERROR(VLOOKUP(C190,Merchants!$A$2:$D$41,3,FALSE),"Merchant not found")</f>
        <v/>
      </c>
      <c r="K190">
        <f>IFERROR(VLOOKUP(C190,Merchants!$A$2:$D$41,4,FALSE),"Merchant not found")</f>
        <v/>
      </c>
      <c r="L190" s="4">
        <f>HLOOKUP(F190,Fee_Tiers!$B$2:$E$3,2,FALSE)</f>
        <v/>
      </c>
      <c r="M190">
        <f>E190*L190</f>
        <v/>
      </c>
      <c r="N190" s="5" t="n">
        <v>46037</v>
      </c>
      <c r="O190">
        <f>C190&amp;"_"&amp;TEXT(N190,"yyyy-mm-dd")</f>
        <v/>
      </c>
      <c r="P190">
        <f>IFERROR(VLOOKUP(O190,Merchant_Day_Analysis!$A$5:$G$447,7,FALSE),"Not found")</f>
        <v/>
      </c>
    </row>
    <row r="191">
      <c r="A191" t="inlineStr">
        <is>
          <t>TXN100189</t>
        </is>
      </c>
      <c r="B191" t="n">
        <v>252</v>
      </c>
      <c r="C191" t="n">
        <v>29</v>
      </c>
      <c r="D191" s="6" t="n">
        <v>46036.87916666667</v>
      </c>
      <c r="E191" t="n">
        <v>1499</v>
      </c>
      <c r="F191" t="inlineStr">
        <is>
          <t>UPI</t>
        </is>
      </c>
      <c r="G191" t="inlineStr">
        <is>
          <t>captured</t>
        </is>
      </c>
      <c r="H191" t="n">
        <v>9</v>
      </c>
      <c r="I191">
        <f>IFERROR(VLOOKUP(C191,Merchants!$A$2:$D$41,2,FALSE),"Merchant not found")</f>
        <v/>
      </c>
      <c r="J191">
        <f>IFERROR(VLOOKUP(C191,Merchants!$A$2:$D$41,3,FALSE),"Merchant not found")</f>
        <v/>
      </c>
      <c r="K191">
        <f>IFERROR(VLOOKUP(C191,Merchants!$A$2:$D$41,4,FALSE),"Merchant not found")</f>
        <v/>
      </c>
      <c r="L191" s="4">
        <f>HLOOKUP(F191,Fee_Tiers!$B$2:$E$3,2,FALSE)</f>
        <v/>
      </c>
      <c r="M191">
        <f>E191*L191</f>
        <v/>
      </c>
      <c r="N191" s="5" t="n">
        <v>46036</v>
      </c>
      <c r="O191">
        <f>C191&amp;"_"&amp;TEXT(N191,"yyyy-mm-dd")</f>
        <v/>
      </c>
      <c r="P191">
        <f>IFERROR(VLOOKUP(O191,Merchant_Day_Analysis!$A$5:$G$447,7,FALSE),"Not found")</f>
        <v/>
      </c>
    </row>
    <row r="192">
      <c r="A192" t="inlineStr">
        <is>
          <t>TXN100190</t>
        </is>
      </c>
      <c r="B192" t="n">
        <v>312</v>
      </c>
      <c r="C192" t="n">
        <v>10</v>
      </c>
      <c r="D192" s="6" t="n">
        <v>46051.09722222222</v>
      </c>
      <c r="E192" t="n">
        <v>799</v>
      </c>
      <c r="F192" t="inlineStr">
        <is>
          <t>UPI</t>
        </is>
      </c>
      <c r="G192" t="inlineStr">
        <is>
          <t>captured</t>
        </is>
      </c>
      <c r="H192" t="n">
        <v>8</v>
      </c>
      <c r="I192">
        <f>IFERROR(VLOOKUP(C192,Merchants!$A$2:$D$41,2,FALSE),"Merchant not found")</f>
        <v/>
      </c>
      <c r="J192">
        <f>IFERROR(VLOOKUP(C192,Merchants!$A$2:$D$41,3,FALSE),"Merchant not found")</f>
        <v/>
      </c>
      <c r="K192">
        <f>IFERROR(VLOOKUP(C192,Merchants!$A$2:$D$41,4,FALSE),"Merchant not found")</f>
        <v/>
      </c>
      <c r="L192" s="4">
        <f>HLOOKUP(F192,Fee_Tiers!$B$2:$E$3,2,FALSE)</f>
        <v/>
      </c>
      <c r="M192">
        <f>E192*L192</f>
        <v/>
      </c>
      <c r="N192" s="5" t="n">
        <v>46051</v>
      </c>
      <c r="O192">
        <f>C192&amp;"_"&amp;TEXT(N192,"yyyy-mm-dd")</f>
        <v/>
      </c>
      <c r="P192">
        <f>IFERROR(VLOOKUP(O192,Merchant_Day_Analysis!$A$5:$G$447,7,FALSE),"Not found")</f>
        <v/>
      </c>
    </row>
    <row r="193">
      <c r="A193" t="inlineStr">
        <is>
          <t>TXN100191</t>
        </is>
      </c>
      <c r="B193" t="n">
        <v>325</v>
      </c>
      <c r="C193" t="n">
        <v>38</v>
      </c>
      <c r="D193" s="6" t="n">
        <v>46027.36041666667</v>
      </c>
      <c r="E193" t="n">
        <v>1499</v>
      </c>
      <c r="F193" t="inlineStr">
        <is>
          <t>Netbanking</t>
        </is>
      </c>
      <c r="G193" t="inlineStr">
        <is>
          <t>captured</t>
        </is>
      </c>
      <c r="H193" t="n">
        <v>70</v>
      </c>
      <c r="I193">
        <f>IFERROR(VLOOKUP(C193,Merchants!$A$2:$D$41,2,FALSE),"Merchant not found")</f>
        <v/>
      </c>
      <c r="J193">
        <f>IFERROR(VLOOKUP(C193,Merchants!$A$2:$D$41,3,FALSE),"Merchant not found")</f>
        <v/>
      </c>
      <c r="K193">
        <f>IFERROR(VLOOKUP(C193,Merchants!$A$2:$D$41,4,FALSE),"Merchant not found")</f>
        <v/>
      </c>
      <c r="L193" s="4">
        <f>HLOOKUP(F193,Fee_Tiers!$B$2:$E$3,2,FALSE)</f>
        <v/>
      </c>
      <c r="M193">
        <f>E193*L193</f>
        <v/>
      </c>
      <c r="N193" s="5" t="n">
        <v>46027</v>
      </c>
      <c r="O193">
        <f>C193&amp;"_"&amp;TEXT(N193,"yyyy-mm-dd")</f>
        <v/>
      </c>
      <c r="P193">
        <f>IFERROR(VLOOKUP(O193,Merchant_Day_Analysis!$A$5:$G$447,7,FALSE),"Not found")</f>
        <v/>
      </c>
    </row>
    <row r="194">
      <c r="A194" t="inlineStr">
        <is>
          <t>TXN100192</t>
        </is>
      </c>
      <c r="B194" t="n">
        <v>306</v>
      </c>
      <c r="C194" t="n">
        <v>34</v>
      </c>
      <c r="D194" s="6" t="n">
        <v>46045.43333333333</v>
      </c>
      <c r="E194" t="n">
        <v>2999</v>
      </c>
      <c r="F194" t="inlineStr">
        <is>
          <t>UPI</t>
        </is>
      </c>
      <c r="G194" t="inlineStr">
        <is>
          <t>captured</t>
        </is>
      </c>
      <c r="H194" t="n">
        <v>37</v>
      </c>
      <c r="I194">
        <f>IFERROR(VLOOKUP(C194,Merchants!$A$2:$D$41,2,FALSE),"Merchant not found")</f>
        <v/>
      </c>
      <c r="J194">
        <f>IFERROR(VLOOKUP(C194,Merchants!$A$2:$D$41,3,FALSE),"Merchant not found")</f>
        <v/>
      </c>
      <c r="K194">
        <f>IFERROR(VLOOKUP(C194,Merchants!$A$2:$D$41,4,FALSE),"Merchant not found")</f>
        <v/>
      </c>
      <c r="L194" s="4">
        <f>HLOOKUP(F194,Fee_Tiers!$B$2:$E$3,2,FALSE)</f>
        <v/>
      </c>
      <c r="M194">
        <f>E194*L194</f>
        <v/>
      </c>
      <c r="N194" s="5" t="n">
        <v>46045</v>
      </c>
      <c r="O194">
        <f>C194&amp;"_"&amp;TEXT(N194,"yyyy-mm-dd")</f>
        <v/>
      </c>
      <c r="P194">
        <f>IFERROR(VLOOKUP(O194,Merchant_Day_Analysis!$A$5:$G$447,7,FALSE),"Not found")</f>
        <v/>
      </c>
    </row>
    <row r="195">
      <c r="A195" t="inlineStr">
        <is>
          <t>TXN100193</t>
        </is>
      </c>
      <c r="B195" t="n">
        <v>221</v>
      </c>
      <c r="C195" t="n">
        <v>7</v>
      </c>
      <c r="D195" s="6" t="n">
        <v>46037.69305555556</v>
      </c>
      <c r="E195" t="n">
        <v>149</v>
      </c>
      <c r="F195" t="inlineStr">
        <is>
          <t>Netbanking</t>
        </is>
      </c>
      <c r="G195" t="inlineStr">
        <is>
          <t>captured</t>
        </is>
      </c>
      <c r="H195" t="n">
        <v>89</v>
      </c>
      <c r="I195">
        <f>IFERROR(VLOOKUP(C195,Merchants!$A$2:$D$41,2,FALSE),"Merchant not found")</f>
        <v/>
      </c>
      <c r="J195">
        <f>IFERROR(VLOOKUP(C195,Merchants!$A$2:$D$41,3,FALSE),"Merchant not found")</f>
        <v/>
      </c>
      <c r="K195">
        <f>IFERROR(VLOOKUP(C195,Merchants!$A$2:$D$41,4,FALSE),"Merchant not found")</f>
        <v/>
      </c>
      <c r="L195" s="4">
        <f>HLOOKUP(F195,Fee_Tiers!$B$2:$E$3,2,FALSE)</f>
        <v/>
      </c>
      <c r="M195">
        <f>E195*L195</f>
        <v/>
      </c>
      <c r="N195" s="5" t="n">
        <v>46037</v>
      </c>
      <c r="O195">
        <f>C195&amp;"_"&amp;TEXT(N195,"yyyy-mm-dd")</f>
        <v/>
      </c>
      <c r="P195">
        <f>IFERROR(VLOOKUP(O195,Merchant_Day_Analysis!$A$5:$G$447,7,FALSE),"Not found")</f>
        <v/>
      </c>
    </row>
    <row r="196">
      <c r="A196" t="inlineStr">
        <is>
          <t>TXN100194</t>
        </is>
      </c>
      <c r="B196" t="n">
        <v>283</v>
      </c>
      <c r="C196" t="n">
        <v>14</v>
      </c>
      <c r="D196" s="6" t="n">
        <v>46026.86180555556</v>
      </c>
      <c r="E196" t="n">
        <v>99</v>
      </c>
      <c r="F196" t="inlineStr">
        <is>
          <t>Wallet</t>
        </is>
      </c>
      <c r="G196" t="inlineStr">
        <is>
          <t>captured</t>
        </is>
      </c>
      <c r="H196" t="n">
        <v>55</v>
      </c>
      <c r="I196">
        <f>IFERROR(VLOOKUP(C196,Merchants!$A$2:$D$41,2,FALSE),"Merchant not found")</f>
        <v/>
      </c>
      <c r="J196">
        <f>IFERROR(VLOOKUP(C196,Merchants!$A$2:$D$41,3,FALSE),"Merchant not found")</f>
        <v/>
      </c>
      <c r="K196">
        <f>IFERROR(VLOOKUP(C196,Merchants!$A$2:$D$41,4,FALSE),"Merchant not found")</f>
        <v/>
      </c>
      <c r="L196" s="4">
        <f>HLOOKUP(F196,Fee_Tiers!$B$2:$E$3,2,FALSE)</f>
        <v/>
      </c>
      <c r="M196">
        <f>E196*L196</f>
        <v/>
      </c>
      <c r="N196" s="5" t="n">
        <v>46026</v>
      </c>
      <c r="O196">
        <f>C196&amp;"_"&amp;TEXT(N196,"yyyy-mm-dd")</f>
        <v/>
      </c>
      <c r="P196">
        <f>IFERROR(VLOOKUP(O196,Merchant_Day_Analysis!$A$5:$G$447,7,FALSE),"Not found")</f>
        <v/>
      </c>
    </row>
    <row r="197">
      <c r="A197" t="inlineStr">
        <is>
          <t>TXN100195</t>
        </is>
      </c>
      <c r="B197" t="n">
        <v>174</v>
      </c>
      <c r="C197" t="n">
        <v>30</v>
      </c>
      <c r="D197" s="6" t="n">
        <v>46037.30972222222</v>
      </c>
      <c r="E197" t="n">
        <v>49</v>
      </c>
      <c r="F197" t="inlineStr">
        <is>
          <t>UPI</t>
        </is>
      </c>
      <c r="G197" t="inlineStr">
        <is>
          <t>captured</t>
        </is>
      </c>
      <c r="H197" t="n">
        <v>51</v>
      </c>
      <c r="I197">
        <f>IFERROR(VLOOKUP(C197,Merchants!$A$2:$D$41,2,FALSE),"Merchant not found")</f>
        <v/>
      </c>
      <c r="J197">
        <f>IFERROR(VLOOKUP(C197,Merchants!$A$2:$D$41,3,FALSE),"Merchant not found")</f>
        <v/>
      </c>
      <c r="K197">
        <f>IFERROR(VLOOKUP(C197,Merchants!$A$2:$D$41,4,FALSE),"Merchant not found")</f>
        <v/>
      </c>
      <c r="L197" s="4">
        <f>HLOOKUP(F197,Fee_Tiers!$B$2:$E$3,2,FALSE)</f>
        <v/>
      </c>
      <c r="M197">
        <f>E197*L197</f>
        <v/>
      </c>
      <c r="N197" s="5" t="n">
        <v>46037</v>
      </c>
      <c r="O197">
        <f>C197&amp;"_"&amp;TEXT(N197,"yyyy-mm-dd")</f>
        <v/>
      </c>
      <c r="P197">
        <f>IFERROR(VLOOKUP(O197,Merchant_Day_Analysis!$A$5:$G$447,7,FALSE),"Not found")</f>
        <v/>
      </c>
    </row>
    <row r="198">
      <c r="A198" t="inlineStr">
        <is>
          <t>TXN100196</t>
        </is>
      </c>
      <c r="B198" t="n">
        <v>161</v>
      </c>
      <c r="C198" t="n">
        <v>28</v>
      </c>
      <c r="D198" s="6" t="n">
        <v>46036.9625</v>
      </c>
      <c r="E198" t="n">
        <v>49</v>
      </c>
      <c r="F198" t="inlineStr">
        <is>
          <t>UPI</t>
        </is>
      </c>
      <c r="G198" t="inlineStr">
        <is>
          <t>captured</t>
        </is>
      </c>
      <c r="H198" t="n">
        <v>40</v>
      </c>
      <c r="I198">
        <f>IFERROR(VLOOKUP(C198,Merchants!$A$2:$D$41,2,FALSE),"Merchant not found")</f>
        <v/>
      </c>
      <c r="J198">
        <f>IFERROR(VLOOKUP(C198,Merchants!$A$2:$D$41,3,FALSE),"Merchant not found")</f>
        <v/>
      </c>
      <c r="K198">
        <f>IFERROR(VLOOKUP(C198,Merchants!$A$2:$D$41,4,FALSE),"Merchant not found")</f>
        <v/>
      </c>
      <c r="L198" s="4">
        <f>HLOOKUP(F198,Fee_Tiers!$B$2:$E$3,2,FALSE)</f>
        <v/>
      </c>
      <c r="M198">
        <f>E198*L198</f>
        <v/>
      </c>
      <c r="N198" s="5" t="n">
        <v>46036</v>
      </c>
      <c r="O198">
        <f>C198&amp;"_"&amp;TEXT(N198,"yyyy-mm-dd")</f>
        <v/>
      </c>
      <c r="P198">
        <f>IFERROR(VLOOKUP(O198,Merchant_Day_Analysis!$A$5:$G$447,7,FALSE),"Not found")</f>
        <v/>
      </c>
    </row>
    <row r="199">
      <c r="A199" t="inlineStr">
        <is>
          <t>TXN100197</t>
        </is>
      </c>
      <c r="B199" t="n">
        <v>79</v>
      </c>
      <c r="C199" t="n">
        <v>31</v>
      </c>
      <c r="D199" s="6" t="n">
        <v>46044.34930555556</v>
      </c>
      <c r="E199" t="n">
        <v>99</v>
      </c>
      <c r="F199" t="inlineStr">
        <is>
          <t>UPI</t>
        </is>
      </c>
      <c r="G199" t="inlineStr">
        <is>
          <t>captured</t>
        </is>
      </c>
      <c r="H199" t="n">
        <v>8</v>
      </c>
      <c r="I199">
        <f>IFERROR(VLOOKUP(C199,Merchants!$A$2:$D$41,2,FALSE),"Merchant not found")</f>
        <v/>
      </c>
      <c r="J199">
        <f>IFERROR(VLOOKUP(C199,Merchants!$A$2:$D$41,3,FALSE),"Merchant not found")</f>
        <v/>
      </c>
      <c r="K199">
        <f>IFERROR(VLOOKUP(C199,Merchants!$A$2:$D$41,4,FALSE),"Merchant not found")</f>
        <v/>
      </c>
      <c r="L199" s="4">
        <f>HLOOKUP(F199,Fee_Tiers!$B$2:$E$3,2,FALSE)</f>
        <v/>
      </c>
      <c r="M199">
        <f>E199*L199</f>
        <v/>
      </c>
      <c r="N199" s="5" t="n">
        <v>46044</v>
      </c>
      <c r="O199">
        <f>C199&amp;"_"&amp;TEXT(N199,"yyyy-mm-dd")</f>
        <v/>
      </c>
      <c r="P199">
        <f>IFERROR(VLOOKUP(O199,Merchant_Day_Analysis!$A$5:$G$447,7,FALSE),"Not found")</f>
        <v/>
      </c>
    </row>
    <row r="200">
      <c r="A200" t="inlineStr">
        <is>
          <t>TXN100198</t>
        </is>
      </c>
      <c r="B200" t="n">
        <v>222</v>
      </c>
      <c r="C200" t="n">
        <v>7</v>
      </c>
      <c r="D200" s="6" t="n">
        <v>46025.08680555555</v>
      </c>
      <c r="E200" t="n">
        <v>149</v>
      </c>
      <c r="F200" t="inlineStr">
        <is>
          <t>Wallet</t>
        </is>
      </c>
      <c r="G200" t="inlineStr">
        <is>
          <t>captured</t>
        </is>
      </c>
      <c r="H200" t="n">
        <v>95</v>
      </c>
      <c r="I200">
        <f>IFERROR(VLOOKUP(C200,Merchants!$A$2:$D$41,2,FALSE),"Merchant not found")</f>
        <v/>
      </c>
      <c r="J200">
        <f>IFERROR(VLOOKUP(C200,Merchants!$A$2:$D$41,3,FALSE),"Merchant not found")</f>
        <v/>
      </c>
      <c r="K200">
        <f>IFERROR(VLOOKUP(C200,Merchants!$A$2:$D$41,4,FALSE),"Merchant not found")</f>
        <v/>
      </c>
      <c r="L200" s="4">
        <f>HLOOKUP(F200,Fee_Tiers!$B$2:$E$3,2,FALSE)</f>
        <v/>
      </c>
      <c r="M200">
        <f>E200*L200</f>
        <v/>
      </c>
      <c r="N200" s="5" t="n">
        <v>46025</v>
      </c>
      <c r="O200">
        <f>C200&amp;"_"&amp;TEXT(N200,"yyyy-mm-dd")</f>
        <v/>
      </c>
      <c r="P200">
        <f>IFERROR(VLOOKUP(O200,Merchant_Day_Analysis!$A$5:$G$447,7,FALSE),"Not found")</f>
        <v/>
      </c>
    </row>
    <row r="201">
      <c r="A201" t="inlineStr">
        <is>
          <t>TXN100199</t>
        </is>
      </c>
      <c r="B201" t="n">
        <v>67</v>
      </c>
      <c r="C201" t="n">
        <v>36</v>
      </c>
      <c r="D201" s="6" t="n">
        <v>46046.49375</v>
      </c>
      <c r="E201" t="n">
        <v>99</v>
      </c>
      <c r="F201" t="inlineStr">
        <is>
          <t>UPI</t>
        </is>
      </c>
      <c r="G201" t="inlineStr">
        <is>
          <t>captured</t>
        </is>
      </c>
      <c r="H201" t="n">
        <v>7</v>
      </c>
      <c r="I201">
        <f>IFERROR(VLOOKUP(C201,Merchants!$A$2:$D$41,2,FALSE),"Merchant not found")</f>
        <v/>
      </c>
      <c r="J201">
        <f>IFERROR(VLOOKUP(C201,Merchants!$A$2:$D$41,3,FALSE),"Merchant not found")</f>
        <v/>
      </c>
      <c r="K201">
        <f>IFERROR(VLOOKUP(C201,Merchants!$A$2:$D$41,4,FALSE),"Merchant not found")</f>
        <v/>
      </c>
      <c r="L201" s="4">
        <f>HLOOKUP(F201,Fee_Tiers!$B$2:$E$3,2,FALSE)</f>
        <v/>
      </c>
      <c r="M201">
        <f>E201*L201</f>
        <v/>
      </c>
      <c r="N201" s="5" t="n">
        <v>46046</v>
      </c>
      <c r="O201">
        <f>C201&amp;"_"&amp;TEXT(N201,"yyyy-mm-dd")</f>
        <v/>
      </c>
      <c r="P201">
        <f>IFERROR(VLOOKUP(O201,Merchant_Day_Analysis!$A$5:$G$447,7,FALSE),"Not found")</f>
        <v/>
      </c>
    </row>
    <row r="202">
      <c r="A202" t="inlineStr">
        <is>
          <t>TXN100200</t>
        </is>
      </c>
      <c r="B202" t="n">
        <v>169</v>
      </c>
      <c r="C202" t="n">
        <v>8</v>
      </c>
      <c r="D202" s="6" t="n">
        <v>46041.73263888889</v>
      </c>
      <c r="E202" t="n">
        <v>99</v>
      </c>
      <c r="F202" t="inlineStr">
        <is>
          <t>UPI</t>
        </is>
      </c>
      <c r="G202" t="inlineStr">
        <is>
          <t>captured</t>
        </is>
      </c>
      <c r="H202" t="n">
        <v>52</v>
      </c>
      <c r="I202">
        <f>IFERROR(VLOOKUP(C202,Merchants!$A$2:$D$41,2,FALSE),"Merchant not found")</f>
        <v/>
      </c>
      <c r="J202">
        <f>IFERROR(VLOOKUP(C202,Merchants!$A$2:$D$41,3,FALSE),"Merchant not found")</f>
        <v/>
      </c>
      <c r="K202">
        <f>IFERROR(VLOOKUP(C202,Merchants!$A$2:$D$41,4,FALSE),"Merchant not found")</f>
        <v/>
      </c>
      <c r="L202" s="4">
        <f>HLOOKUP(F202,Fee_Tiers!$B$2:$E$3,2,FALSE)</f>
        <v/>
      </c>
      <c r="M202">
        <f>E202*L202</f>
        <v/>
      </c>
      <c r="N202" s="5" t="n">
        <v>46041</v>
      </c>
      <c r="O202">
        <f>C202&amp;"_"&amp;TEXT(N202,"yyyy-mm-dd")</f>
        <v/>
      </c>
      <c r="P202">
        <f>IFERROR(VLOOKUP(O202,Merchant_Day_Analysis!$A$5:$G$447,7,FALSE),"Not found")</f>
        <v/>
      </c>
    </row>
    <row r="203">
      <c r="A203" t="inlineStr">
        <is>
          <t>TXN100201</t>
        </is>
      </c>
      <c r="B203" t="n">
        <v>217</v>
      </c>
      <c r="C203" t="n">
        <v>4</v>
      </c>
      <c r="D203" s="6" t="n">
        <v>46034.90833333333</v>
      </c>
      <c r="E203" t="n">
        <v>49</v>
      </c>
      <c r="F203" t="inlineStr">
        <is>
          <t>UPI</t>
        </is>
      </c>
      <c r="G203" t="inlineStr">
        <is>
          <t>captured</t>
        </is>
      </c>
      <c r="H203" t="n">
        <v>36</v>
      </c>
      <c r="I203">
        <f>IFERROR(VLOOKUP(C203,Merchants!$A$2:$D$41,2,FALSE),"Merchant not found")</f>
        <v/>
      </c>
      <c r="J203">
        <f>IFERROR(VLOOKUP(C203,Merchants!$A$2:$D$41,3,FALSE),"Merchant not found")</f>
        <v/>
      </c>
      <c r="K203">
        <f>IFERROR(VLOOKUP(C203,Merchants!$A$2:$D$41,4,FALSE),"Merchant not found")</f>
        <v/>
      </c>
      <c r="L203" s="4">
        <f>HLOOKUP(F203,Fee_Tiers!$B$2:$E$3,2,FALSE)</f>
        <v/>
      </c>
      <c r="M203">
        <f>E203*L203</f>
        <v/>
      </c>
      <c r="N203" s="5" t="n">
        <v>46034</v>
      </c>
      <c r="O203">
        <f>C203&amp;"_"&amp;TEXT(N203,"yyyy-mm-dd")</f>
        <v/>
      </c>
      <c r="P203">
        <f>IFERROR(VLOOKUP(O203,Merchant_Day_Analysis!$A$5:$G$447,7,FALSE),"Not found")</f>
        <v/>
      </c>
    </row>
    <row r="204">
      <c r="A204" t="inlineStr">
        <is>
          <t>TXN100202</t>
        </is>
      </c>
      <c r="B204" t="n">
        <v>54</v>
      </c>
      <c r="C204" t="n">
        <v>37</v>
      </c>
      <c r="D204" s="6" t="n">
        <v>46042.39027777778</v>
      </c>
      <c r="E204" t="n">
        <v>149</v>
      </c>
      <c r="F204" t="inlineStr">
        <is>
          <t>UPI</t>
        </is>
      </c>
      <c r="G204" t="inlineStr">
        <is>
          <t>captured</t>
        </is>
      </c>
      <c r="H204" t="n">
        <v>64</v>
      </c>
      <c r="I204">
        <f>IFERROR(VLOOKUP(C204,Merchants!$A$2:$D$41,2,FALSE),"Merchant not found")</f>
        <v/>
      </c>
      <c r="J204">
        <f>IFERROR(VLOOKUP(C204,Merchants!$A$2:$D$41,3,FALSE),"Merchant not found")</f>
        <v/>
      </c>
      <c r="K204">
        <f>IFERROR(VLOOKUP(C204,Merchants!$A$2:$D$41,4,FALSE),"Merchant not found")</f>
        <v/>
      </c>
      <c r="L204" s="4">
        <f>HLOOKUP(F204,Fee_Tiers!$B$2:$E$3,2,FALSE)</f>
        <v/>
      </c>
      <c r="M204">
        <f>E204*L204</f>
        <v/>
      </c>
      <c r="N204" s="5" t="n">
        <v>46042</v>
      </c>
      <c r="O204">
        <f>C204&amp;"_"&amp;TEXT(N204,"yyyy-mm-dd")</f>
        <v/>
      </c>
      <c r="P204">
        <f>IFERROR(VLOOKUP(O204,Merchant_Day_Analysis!$A$5:$G$447,7,FALSE),"Not found")</f>
        <v/>
      </c>
    </row>
    <row r="205">
      <c r="A205" t="inlineStr">
        <is>
          <t>TXN100203</t>
        </is>
      </c>
      <c r="B205" t="n">
        <v>247</v>
      </c>
      <c r="C205" t="n">
        <v>15</v>
      </c>
      <c r="D205" s="6" t="n">
        <v>46029.19583333333</v>
      </c>
      <c r="E205" t="n">
        <v>49</v>
      </c>
      <c r="F205" t="inlineStr">
        <is>
          <t>Card</t>
        </is>
      </c>
      <c r="G205" t="inlineStr">
        <is>
          <t>captured</t>
        </is>
      </c>
      <c r="H205" t="n">
        <v>13</v>
      </c>
      <c r="I205">
        <f>IFERROR(VLOOKUP(C205,Merchants!$A$2:$D$41,2,FALSE),"Merchant not found")</f>
        <v/>
      </c>
      <c r="J205">
        <f>IFERROR(VLOOKUP(C205,Merchants!$A$2:$D$41,3,FALSE),"Merchant not found")</f>
        <v/>
      </c>
      <c r="K205">
        <f>IFERROR(VLOOKUP(C205,Merchants!$A$2:$D$41,4,FALSE),"Merchant not found")</f>
        <v/>
      </c>
      <c r="L205" s="4">
        <f>HLOOKUP(F205,Fee_Tiers!$B$2:$E$3,2,FALSE)</f>
        <v/>
      </c>
      <c r="M205">
        <f>E205*L205</f>
        <v/>
      </c>
      <c r="N205" s="5" t="n">
        <v>46029</v>
      </c>
      <c r="O205">
        <f>C205&amp;"_"&amp;TEXT(N205,"yyyy-mm-dd")</f>
        <v/>
      </c>
      <c r="P205">
        <f>IFERROR(VLOOKUP(O205,Merchant_Day_Analysis!$A$5:$G$447,7,FALSE),"Not found")</f>
        <v/>
      </c>
    </row>
    <row r="206">
      <c r="A206" t="inlineStr">
        <is>
          <t>TXN100204</t>
        </is>
      </c>
      <c r="B206" t="n">
        <v>59</v>
      </c>
      <c r="C206" t="n">
        <v>18</v>
      </c>
      <c r="D206" s="6" t="n">
        <v>46034.72430555556</v>
      </c>
      <c r="E206" t="n">
        <v>49</v>
      </c>
      <c r="F206" t="inlineStr">
        <is>
          <t>Card</t>
        </is>
      </c>
      <c r="G206" t="inlineStr">
        <is>
          <t>captured</t>
        </is>
      </c>
      <c r="H206" t="n">
        <v>73</v>
      </c>
      <c r="I206">
        <f>IFERROR(VLOOKUP(C206,Merchants!$A$2:$D$41,2,FALSE),"Merchant not found")</f>
        <v/>
      </c>
      <c r="J206">
        <f>IFERROR(VLOOKUP(C206,Merchants!$A$2:$D$41,3,FALSE),"Merchant not found")</f>
        <v/>
      </c>
      <c r="K206">
        <f>IFERROR(VLOOKUP(C206,Merchants!$A$2:$D$41,4,FALSE),"Merchant not found")</f>
        <v/>
      </c>
      <c r="L206" s="4">
        <f>HLOOKUP(F206,Fee_Tiers!$B$2:$E$3,2,FALSE)</f>
        <v/>
      </c>
      <c r="M206">
        <f>E206*L206</f>
        <v/>
      </c>
      <c r="N206" s="5" t="n">
        <v>46034</v>
      </c>
      <c r="O206">
        <f>C206&amp;"_"&amp;TEXT(N206,"yyyy-mm-dd")</f>
        <v/>
      </c>
      <c r="P206">
        <f>IFERROR(VLOOKUP(O206,Merchant_Day_Analysis!$A$5:$G$447,7,FALSE),"Not found")</f>
        <v/>
      </c>
    </row>
    <row r="207">
      <c r="A207" t="inlineStr">
        <is>
          <t>TXN100205</t>
        </is>
      </c>
      <c r="B207" t="n">
        <v>288</v>
      </c>
      <c r="C207" t="n">
        <v>40</v>
      </c>
      <c r="D207" s="6" t="n">
        <v>46030.57916666667</v>
      </c>
      <c r="E207" t="n">
        <v>49</v>
      </c>
      <c r="F207" t="inlineStr">
        <is>
          <t>UPI</t>
        </is>
      </c>
      <c r="G207" t="inlineStr">
        <is>
          <t>failed</t>
        </is>
      </c>
      <c r="H207" t="n">
        <v>78</v>
      </c>
      <c r="I207">
        <f>IFERROR(VLOOKUP(C207,Merchants!$A$2:$D$41,2,FALSE),"Merchant not found")</f>
        <v/>
      </c>
      <c r="J207">
        <f>IFERROR(VLOOKUP(C207,Merchants!$A$2:$D$41,3,FALSE),"Merchant not found")</f>
        <v/>
      </c>
      <c r="K207">
        <f>IFERROR(VLOOKUP(C207,Merchants!$A$2:$D$41,4,FALSE),"Merchant not found")</f>
        <v/>
      </c>
      <c r="L207" s="4">
        <f>HLOOKUP(F207,Fee_Tiers!$B$2:$E$3,2,FALSE)</f>
        <v/>
      </c>
      <c r="M207">
        <f>E207*L207</f>
        <v/>
      </c>
      <c r="N207" s="5" t="n">
        <v>46030</v>
      </c>
      <c r="O207">
        <f>C207&amp;"_"&amp;TEXT(N207,"yyyy-mm-dd")</f>
        <v/>
      </c>
      <c r="P207">
        <f>IFERROR(VLOOKUP(O207,Merchant_Day_Analysis!$A$5:$G$447,7,FALSE),"Not found")</f>
        <v/>
      </c>
    </row>
    <row r="208">
      <c r="A208" t="inlineStr">
        <is>
          <t>TXN100206</t>
        </is>
      </c>
      <c r="B208" t="n">
        <v>14</v>
      </c>
      <c r="C208" t="n">
        <v>39</v>
      </c>
      <c r="D208" s="6" t="n">
        <v>46044.85763888889</v>
      </c>
      <c r="E208" t="n">
        <v>799</v>
      </c>
      <c r="F208" t="inlineStr">
        <is>
          <t>UPI</t>
        </is>
      </c>
      <c r="G208" t="inlineStr">
        <is>
          <t>captured</t>
        </is>
      </c>
      <c r="H208" t="n">
        <v>84</v>
      </c>
      <c r="I208">
        <f>IFERROR(VLOOKUP(C208,Merchants!$A$2:$D$41,2,FALSE),"Merchant not found")</f>
        <v/>
      </c>
      <c r="J208">
        <f>IFERROR(VLOOKUP(C208,Merchants!$A$2:$D$41,3,FALSE),"Merchant not found")</f>
        <v/>
      </c>
      <c r="K208">
        <f>IFERROR(VLOOKUP(C208,Merchants!$A$2:$D$41,4,FALSE),"Merchant not found")</f>
        <v/>
      </c>
      <c r="L208" s="4">
        <f>HLOOKUP(F208,Fee_Tiers!$B$2:$E$3,2,FALSE)</f>
        <v/>
      </c>
      <c r="M208">
        <f>E208*L208</f>
        <v/>
      </c>
      <c r="N208" s="5" t="n">
        <v>46044</v>
      </c>
      <c r="O208">
        <f>C208&amp;"_"&amp;TEXT(N208,"yyyy-mm-dd")</f>
        <v/>
      </c>
      <c r="P208">
        <f>IFERROR(VLOOKUP(O208,Merchant_Day_Analysis!$A$5:$G$447,7,FALSE),"Not found")</f>
        <v/>
      </c>
    </row>
    <row r="209">
      <c r="A209" t="inlineStr">
        <is>
          <t>TXN100207</t>
        </is>
      </c>
      <c r="B209" t="n">
        <v>15</v>
      </c>
      <c r="C209" t="n">
        <v>12</v>
      </c>
      <c r="D209" s="6" t="n">
        <v>46049.92847222222</v>
      </c>
      <c r="E209" t="n">
        <v>149</v>
      </c>
      <c r="F209" t="inlineStr">
        <is>
          <t>UPI</t>
        </is>
      </c>
      <c r="G209" t="inlineStr">
        <is>
          <t>captured</t>
        </is>
      </c>
      <c r="H209" t="n">
        <v>34</v>
      </c>
      <c r="I209">
        <f>IFERROR(VLOOKUP(C209,Merchants!$A$2:$D$41,2,FALSE),"Merchant not found")</f>
        <v/>
      </c>
      <c r="J209">
        <f>IFERROR(VLOOKUP(C209,Merchants!$A$2:$D$41,3,FALSE),"Merchant not found")</f>
        <v/>
      </c>
      <c r="K209">
        <f>IFERROR(VLOOKUP(C209,Merchants!$A$2:$D$41,4,FALSE),"Merchant not found")</f>
        <v/>
      </c>
      <c r="L209" s="4">
        <f>HLOOKUP(F209,Fee_Tiers!$B$2:$E$3,2,FALSE)</f>
        <v/>
      </c>
      <c r="M209">
        <f>E209*L209</f>
        <v/>
      </c>
      <c r="N209" s="5" t="n">
        <v>46049</v>
      </c>
      <c r="O209">
        <f>C209&amp;"_"&amp;TEXT(N209,"yyyy-mm-dd")</f>
        <v/>
      </c>
      <c r="P209">
        <f>IFERROR(VLOOKUP(O209,Merchant_Day_Analysis!$A$5:$G$447,7,FALSE),"Not found")</f>
        <v/>
      </c>
    </row>
    <row r="210">
      <c r="A210" t="inlineStr">
        <is>
          <t>TXN100208</t>
        </is>
      </c>
      <c r="B210" t="n">
        <v>174</v>
      </c>
      <c r="C210" t="n">
        <v>23</v>
      </c>
      <c r="D210" s="6" t="n">
        <v>46045.41527777778</v>
      </c>
      <c r="E210" t="n">
        <v>149</v>
      </c>
      <c r="F210" t="inlineStr">
        <is>
          <t>UPI</t>
        </is>
      </c>
      <c r="G210" t="inlineStr">
        <is>
          <t>captured</t>
        </is>
      </c>
      <c r="H210" t="n">
        <v>0</v>
      </c>
      <c r="I210">
        <f>IFERROR(VLOOKUP(C210,Merchants!$A$2:$D$41,2,FALSE),"Merchant not found")</f>
        <v/>
      </c>
      <c r="J210">
        <f>IFERROR(VLOOKUP(C210,Merchants!$A$2:$D$41,3,FALSE),"Merchant not found")</f>
        <v/>
      </c>
      <c r="K210">
        <f>IFERROR(VLOOKUP(C210,Merchants!$A$2:$D$41,4,FALSE),"Merchant not found")</f>
        <v/>
      </c>
      <c r="L210" s="4">
        <f>HLOOKUP(F210,Fee_Tiers!$B$2:$E$3,2,FALSE)</f>
        <v/>
      </c>
      <c r="M210">
        <f>E210*L210</f>
        <v/>
      </c>
      <c r="N210" s="5" t="n">
        <v>46045</v>
      </c>
      <c r="O210">
        <f>C210&amp;"_"&amp;TEXT(N210,"yyyy-mm-dd")</f>
        <v/>
      </c>
      <c r="P210">
        <f>IFERROR(VLOOKUP(O210,Merchant_Day_Analysis!$A$5:$G$447,7,FALSE),"Not found")</f>
        <v/>
      </c>
    </row>
    <row r="211">
      <c r="A211" t="inlineStr">
        <is>
          <t>TXN100209</t>
        </is>
      </c>
      <c r="B211" t="n">
        <v>337</v>
      </c>
      <c r="C211" t="n">
        <v>26</v>
      </c>
      <c r="D211" s="6" t="n">
        <v>46028.19166666667</v>
      </c>
      <c r="E211" t="n">
        <v>49</v>
      </c>
      <c r="F211" t="inlineStr">
        <is>
          <t>UPI</t>
        </is>
      </c>
      <c r="G211" t="inlineStr">
        <is>
          <t>captured</t>
        </is>
      </c>
      <c r="H211" t="n">
        <v>8</v>
      </c>
      <c r="I211">
        <f>IFERROR(VLOOKUP(C211,Merchants!$A$2:$D$41,2,FALSE),"Merchant not found")</f>
        <v/>
      </c>
      <c r="J211">
        <f>IFERROR(VLOOKUP(C211,Merchants!$A$2:$D$41,3,FALSE),"Merchant not found")</f>
        <v/>
      </c>
      <c r="K211">
        <f>IFERROR(VLOOKUP(C211,Merchants!$A$2:$D$41,4,FALSE),"Merchant not found")</f>
        <v/>
      </c>
      <c r="L211" s="4">
        <f>HLOOKUP(F211,Fee_Tiers!$B$2:$E$3,2,FALSE)</f>
        <v/>
      </c>
      <c r="M211">
        <f>E211*L211</f>
        <v/>
      </c>
      <c r="N211" s="5" t="n">
        <v>46028</v>
      </c>
      <c r="O211">
        <f>C211&amp;"_"&amp;TEXT(N211,"yyyy-mm-dd")</f>
        <v/>
      </c>
      <c r="P211">
        <f>IFERROR(VLOOKUP(O211,Merchant_Day_Analysis!$A$5:$G$447,7,FALSE),"Not found")</f>
        <v/>
      </c>
    </row>
    <row r="212">
      <c r="A212" t="inlineStr">
        <is>
          <t>TXN100210</t>
        </is>
      </c>
      <c r="B212" t="n">
        <v>16</v>
      </c>
      <c r="C212" t="n">
        <v>6</v>
      </c>
      <c r="D212" s="6" t="n">
        <v>46027.98611111111</v>
      </c>
      <c r="E212" t="n">
        <v>1499</v>
      </c>
      <c r="F212" t="inlineStr">
        <is>
          <t>UPI</t>
        </is>
      </c>
      <c r="G212" t="inlineStr">
        <is>
          <t>captured</t>
        </is>
      </c>
      <c r="H212" t="n">
        <v>95</v>
      </c>
      <c r="I212">
        <f>IFERROR(VLOOKUP(C212,Merchants!$A$2:$D$41,2,FALSE),"Merchant not found")</f>
        <v/>
      </c>
      <c r="J212">
        <f>IFERROR(VLOOKUP(C212,Merchants!$A$2:$D$41,3,FALSE),"Merchant not found")</f>
        <v/>
      </c>
      <c r="K212">
        <f>IFERROR(VLOOKUP(C212,Merchants!$A$2:$D$41,4,FALSE),"Merchant not found")</f>
        <v/>
      </c>
      <c r="L212" s="4">
        <f>HLOOKUP(F212,Fee_Tiers!$B$2:$E$3,2,FALSE)</f>
        <v/>
      </c>
      <c r="M212">
        <f>E212*L212</f>
        <v/>
      </c>
      <c r="N212" s="5" t="n">
        <v>46027</v>
      </c>
      <c r="O212">
        <f>C212&amp;"_"&amp;TEXT(N212,"yyyy-mm-dd")</f>
        <v/>
      </c>
      <c r="P212">
        <f>IFERROR(VLOOKUP(O212,Merchant_Day_Analysis!$A$5:$G$447,7,FALSE),"Not found")</f>
        <v/>
      </c>
    </row>
    <row r="213">
      <c r="A213" t="inlineStr">
        <is>
          <t>TXN100211</t>
        </is>
      </c>
      <c r="B213" t="n">
        <v>215</v>
      </c>
      <c r="C213" t="n">
        <v>30</v>
      </c>
      <c r="D213" s="6" t="n">
        <v>46039.26666666667</v>
      </c>
      <c r="E213" t="n">
        <v>49</v>
      </c>
      <c r="F213" t="inlineStr">
        <is>
          <t>UPI</t>
        </is>
      </c>
      <c r="G213" t="inlineStr">
        <is>
          <t>captured</t>
        </is>
      </c>
      <c r="H213" t="n">
        <v>43</v>
      </c>
      <c r="I213">
        <f>IFERROR(VLOOKUP(C213,Merchants!$A$2:$D$41,2,FALSE),"Merchant not found")</f>
        <v/>
      </c>
      <c r="J213">
        <f>IFERROR(VLOOKUP(C213,Merchants!$A$2:$D$41,3,FALSE),"Merchant not found")</f>
        <v/>
      </c>
      <c r="K213">
        <f>IFERROR(VLOOKUP(C213,Merchants!$A$2:$D$41,4,FALSE),"Merchant not found")</f>
        <v/>
      </c>
      <c r="L213" s="4">
        <f>HLOOKUP(F213,Fee_Tiers!$B$2:$E$3,2,FALSE)</f>
        <v/>
      </c>
      <c r="M213">
        <f>E213*L213</f>
        <v/>
      </c>
      <c r="N213" s="5" t="n">
        <v>46039</v>
      </c>
      <c r="O213">
        <f>C213&amp;"_"&amp;TEXT(N213,"yyyy-mm-dd")</f>
        <v/>
      </c>
      <c r="P213">
        <f>IFERROR(VLOOKUP(O213,Merchant_Day_Analysis!$A$5:$G$447,7,FALSE),"Not found")</f>
        <v/>
      </c>
    </row>
    <row r="214">
      <c r="A214" t="inlineStr">
        <is>
          <t>TXN100212</t>
        </is>
      </c>
      <c r="B214" t="n">
        <v>167</v>
      </c>
      <c r="C214" t="n">
        <v>37</v>
      </c>
      <c r="D214" s="6" t="n">
        <v>46028.47152777778</v>
      </c>
      <c r="E214" t="n">
        <v>99</v>
      </c>
      <c r="F214" t="inlineStr">
        <is>
          <t>UPI</t>
        </is>
      </c>
      <c r="G214" t="inlineStr">
        <is>
          <t>captured</t>
        </is>
      </c>
      <c r="H214" t="n">
        <v>76</v>
      </c>
      <c r="I214">
        <f>IFERROR(VLOOKUP(C214,Merchants!$A$2:$D$41,2,FALSE),"Merchant not found")</f>
        <v/>
      </c>
      <c r="J214">
        <f>IFERROR(VLOOKUP(C214,Merchants!$A$2:$D$41,3,FALSE),"Merchant not found")</f>
        <v/>
      </c>
      <c r="K214">
        <f>IFERROR(VLOOKUP(C214,Merchants!$A$2:$D$41,4,FALSE),"Merchant not found")</f>
        <v/>
      </c>
      <c r="L214" s="4">
        <f>HLOOKUP(F214,Fee_Tiers!$B$2:$E$3,2,FALSE)</f>
        <v/>
      </c>
      <c r="M214">
        <f>E214*L214</f>
        <v/>
      </c>
      <c r="N214" s="5" t="n">
        <v>46028</v>
      </c>
      <c r="O214">
        <f>C214&amp;"_"&amp;TEXT(N214,"yyyy-mm-dd")</f>
        <v/>
      </c>
      <c r="P214">
        <f>IFERROR(VLOOKUP(O214,Merchant_Day_Analysis!$A$5:$G$447,7,FALSE),"Not found")</f>
        <v/>
      </c>
    </row>
    <row r="215">
      <c r="A215" t="inlineStr">
        <is>
          <t>TXN100213</t>
        </is>
      </c>
      <c r="B215" t="n">
        <v>81</v>
      </c>
      <c r="C215" t="n">
        <v>40</v>
      </c>
      <c r="D215" s="6" t="n">
        <v>46025.04791666667</v>
      </c>
      <c r="E215" t="n">
        <v>49</v>
      </c>
      <c r="F215" t="inlineStr">
        <is>
          <t>UPI</t>
        </is>
      </c>
      <c r="G215" t="inlineStr">
        <is>
          <t>captured</t>
        </is>
      </c>
      <c r="H215" t="n">
        <v>6</v>
      </c>
      <c r="I215">
        <f>IFERROR(VLOOKUP(C215,Merchants!$A$2:$D$41,2,FALSE),"Merchant not found")</f>
        <v/>
      </c>
      <c r="J215">
        <f>IFERROR(VLOOKUP(C215,Merchants!$A$2:$D$41,3,FALSE),"Merchant not found")</f>
        <v/>
      </c>
      <c r="K215">
        <f>IFERROR(VLOOKUP(C215,Merchants!$A$2:$D$41,4,FALSE),"Merchant not found")</f>
        <v/>
      </c>
      <c r="L215" s="4">
        <f>HLOOKUP(F215,Fee_Tiers!$B$2:$E$3,2,FALSE)</f>
        <v/>
      </c>
      <c r="M215">
        <f>E215*L215</f>
        <v/>
      </c>
      <c r="N215" s="5" t="n">
        <v>46025</v>
      </c>
      <c r="O215">
        <f>C215&amp;"_"&amp;TEXT(N215,"yyyy-mm-dd")</f>
        <v/>
      </c>
      <c r="P215">
        <f>IFERROR(VLOOKUP(O215,Merchant_Day_Analysis!$A$5:$G$447,7,FALSE),"Not found")</f>
        <v/>
      </c>
    </row>
    <row r="216">
      <c r="A216" t="inlineStr">
        <is>
          <t>TXN100214</t>
        </is>
      </c>
      <c r="B216" t="n">
        <v>227</v>
      </c>
      <c r="C216" t="n">
        <v>28</v>
      </c>
      <c r="D216" s="6" t="n">
        <v>46044.09513888889</v>
      </c>
      <c r="E216" t="n">
        <v>99</v>
      </c>
      <c r="F216" t="inlineStr">
        <is>
          <t>UPI</t>
        </is>
      </c>
      <c r="G216" t="inlineStr">
        <is>
          <t>captured</t>
        </is>
      </c>
      <c r="H216" t="n">
        <v>62</v>
      </c>
      <c r="I216">
        <f>IFERROR(VLOOKUP(C216,Merchants!$A$2:$D$41,2,FALSE),"Merchant not found")</f>
        <v/>
      </c>
      <c r="J216">
        <f>IFERROR(VLOOKUP(C216,Merchants!$A$2:$D$41,3,FALSE),"Merchant not found")</f>
        <v/>
      </c>
      <c r="K216">
        <f>IFERROR(VLOOKUP(C216,Merchants!$A$2:$D$41,4,FALSE),"Merchant not found")</f>
        <v/>
      </c>
      <c r="L216" s="4">
        <f>HLOOKUP(F216,Fee_Tiers!$B$2:$E$3,2,FALSE)</f>
        <v/>
      </c>
      <c r="M216">
        <f>E216*L216</f>
        <v/>
      </c>
      <c r="N216" s="5" t="n">
        <v>46044</v>
      </c>
      <c r="O216">
        <f>C216&amp;"_"&amp;TEXT(N216,"yyyy-mm-dd")</f>
        <v/>
      </c>
      <c r="P216">
        <f>IFERROR(VLOOKUP(O216,Merchant_Day_Analysis!$A$5:$G$447,7,FALSE),"Not found")</f>
        <v/>
      </c>
    </row>
    <row r="217">
      <c r="A217" t="inlineStr">
        <is>
          <t>TXN100215</t>
        </is>
      </c>
      <c r="B217" t="n">
        <v>140</v>
      </c>
      <c r="C217" t="n">
        <v>14</v>
      </c>
      <c r="D217" s="6" t="n">
        <v>46042.60138888889</v>
      </c>
      <c r="E217" t="n">
        <v>299</v>
      </c>
      <c r="F217" t="inlineStr">
        <is>
          <t>Wallet</t>
        </is>
      </c>
      <c r="G217" t="inlineStr">
        <is>
          <t>captured</t>
        </is>
      </c>
      <c r="H217" t="n">
        <v>96</v>
      </c>
      <c r="I217">
        <f>IFERROR(VLOOKUP(C217,Merchants!$A$2:$D$41,2,FALSE),"Merchant not found")</f>
        <v/>
      </c>
      <c r="J217">
        <f>IFERROR(VLOOKUP(C217,Merchants!$A$2:$D$41,3,FALSE),"Merchant not found")</f>
        <v/>
      </c>
      <c r="K217">
        <f>IFERROR(VLOOKUP(C217,Merchants!$A$2:$D$41,4,FALSE),"Merchant not found")</f>
        <v/>
      </c>
      <c r="L217" s="4">
        <f>HLOOKUP(F217,Fee_Tiers!$B$2:$E$3,2,FALSE)</f>
        <v/>
      </c>
      <c r="M217">
        <f>E217*L217</f>
        <v/>
      </c>
      <c r="N217" s="5" t="n">
        <v>46042</v>
      </c>
      <c r="O217">
        <f>C217&amp;"_"&amp;TEXT(N217,"yyyy-mm-dd")</f>
        <v/>
      </c>
      <c r="P217">
        <f>IFERROR(VLOOKUP(O217,Merchant_Day_Analysis!$A$5:$G$447,7,FALSE),"Not found")</f>
        <v/>
      </c>
    </row>
    <row r="218">
      <c r="A218" t="inlineStr">
        <is>
          <t>TXN100216</t>
        </is>
      </c>
      <c r="B218" t="n">
        <v>221</v>
      </c>
      <c r="C218" t="n">
        <v>8</v>
      </c>
      <c r="D218" s="6" t="n">
        <v>46039.14027777778</v>
      </c>
      <c r="E218" t="n">
        <v>299</v>
      </c>
      <c r="F218" t="inlineStr">
        <is>
          <t>UPI</t>
        </is>
      </c>
      <c r="G218" t="inlineStr">
        <is>
          <t>captured</t>
        </is>
      </c>
      <c r="H218" t="n">
        <v>36</v>
      </c>
      <c r="I218">
        <f>IFERROR(VLOOKUP(C218,Merchants!$A$2:$D$41,2,FALSE),"Merchant not found")</f>
        <v/>
      </c>
      <c r="J218">
        <f>IFERROR(VLOOKUP(C218,Merchants!$A$2:$D$41,3,FALSE),"Merchant not found")</f>
        <v/>
      </c>
      <c r="K218">
        <f>IFERROR(VLOOKUP(C218,Merchants!$A$2:$D$41,4,FALSE),"Merchant not found")</f>
        <v/>
      </c>
      <c r="L218" s="4">
        <f>HLOOKUP(F218,Fee_Tiers!$B$2:$E$3,2,FALSE)</f>
        <v/>
      </c>
      <c r="M218">
        <f>E218*L218</f>
        <v/>
      </c>
      <c r="N218" s="5" t="n">
        <v>46039</v>
      </c>
      <c r="O218">
        <f>C218&amp;"_"&amp;TEXT(N218,"yyyy-mm-dd")</f>
        <v/>
      </c>
      <c r="P218">
        <f>IFERROR(VLOOKUP(O218,Merchant_Day_Analysis!$A$5:$G$447,7,FALSE),"Not found")</f>
        <v/>
      </c>
    </row>
    <row r="219">
      <c r="A219" t="inlineStr">
        <is>
          <t>TXN100217</t>
        </is>
      </c>
      <c r="B219" t="n">
        <v>250</v>
      </c>
      <c r="C219" t="n">
        <v>34</v>
      </c>
      <c r="D219" s="6" t="n">
        <v>46044.90069444444</v>
      </c>
      <c r="E219" t="n">
        <v>299</v>
      </c>
      <c r="F219" t="inlineStr">
        <is>
          <t>Wallet</t>
        </is>
      </c>
      <c r="G219" t="inlineStr">
        <is>
          <t>captured</t>
        </is>
      </c>
      <c r="H219" t="n">
        <v>85</v>
      </c>
      <c r="I219">
        <f>IFERROR(VLOOKUP(C219,Merchants!$A$2:$D$41,2,FALSE),"Merchant not found")</f>
        <v/>
      </c>
      <c r="J219">
        <f>IFERROR(VLOOKUP(C219,Merchants!$A$2:$D$41,3,FALSE),"Merchant not found")</f>
        <v/>
      </c>
      <c r="K219">
        <f>IFERROR(VLOOKUP(C219,Merchants!$A$2:$D$41,4,FALSE),"Merchant not found")</f>
        <v/>
      </c>
      <c r="L219" s="4">
        <f>HLOOKUP(F219,Fee_Tiers!$B$2:$E$3,2,FALSE)</f>
        <v/>
      </c>
      <c r="M219">
        <f>E219*L219</f>
        <v/>
      </c>
      <c r="N219" s="5" t="n">
        <v>46044</v>
      </c>
      <c r="O219">
        <f>C219&amp;"_"&amp;TEXT(N219,"yyyy-mm-dd")</f>
        <v/>
      </c>
      <c r="P219">
        <f>IFERROR(VLOOKUP(O219,Merchant_Day_Analysis!$A$5:$G$447,7,FALSE),"Not found")</f>
        <v/>
      </c>
    </row>
    <row r="220">
      <c r="A220" t="inlineStr">
        <is>
          <t>TXN100218</t>
        </is>
      </c>
      <c r="B220" t="n">
        <v>203</v>
      </c>
      <c r="C220" t="n">
        <v>39</v>
      </c>
      <c r="D220" s="6" t="n">
        <v>46032.05138888889</v>
      </c>
      <c r="E220" t="n">
        <v>49</v>
      </c>
      <c r="F220" t="inlineStr">
        <is>
          <t>UPI</t>
        </is>
      </c>
      <c r="G220" t="inlineStr">
        <is>
          <t>captured</t>
        </is>
      </c>
      <c r="H220" t="n">
        <v>7</v>
      </c>
      <c r="I220">
        <f>IFERROR(VLOOKUP(C220,Merchants!$A$2:$D$41,2,FALSE),"Merchant not found")</f>
        <v/>
      </c>
      <c r="J220">
        <f>IFERROR(VLOOKUP(C220,Merchants!$A$2:$D$41,3,FALSE),"Merchant not found")</f>
        <v/>
      </c>
      <c r="K220">
        <f>IFERROR(VLOOKUP(C220,Merchants!$A$2:$D$41,4,FALSE),"Merchant not found")</f>
        <v/>
      </c>
      <c r="L220" s="4">
        <f>HLOOKUP(F220,Fee_Tiers!$B$2:$E$3,2,FALSE)</f>
        <v/>
      </c>
      <c r="M220">
        <f>E220*L220</f>
        <v/>
      </c>
      <c r="N220" s="5" t="n">
        <v>46032</v>
      </c>
      <c r="O220">
        <f>C220&amp;"_"&amp;TEXT(N220,"yyyy-mm-dd")</f>
        <v/>
      </c>
      <c r="P220">
        <f>IFERROR(VLOOKUP(O220,Merchant_Day_Analysis!$A$5:$G$447,7,FALSE),"Not found")</f>
        <v/>
      </c>
    </row>
    <row r="221">
      <c r="A221" t="inlineStr">
        <is>
          <t>TXN100219</t>
        </is>
      </c>
      <c r="B221" t="n">
        <v>109</v>
      </c>
      <c r="C221" t="n">
        <v>9</v>
      </c>
      <c r="D221" s="6" t="n">
        <v>46023.26319444444</v>
      </c>
      <c r="E221" t="n">
        <v>499</v>
      </c>
      <c r="F221" t="inlineStr">
        <is>
          <t>Wallet</t>
        </is>
      </c>
      <c r="G221" t="inlineStr">
        <is>
          <t>captured</t>
        </is>
      </c>
      <c r="H221" t="n">
        <v>97</v>
      </c>
      <c r="I221">
        <f>IFERROR(VLOOKUP(C221,Merchants!$A$2:$D$41,2,FALSE),"Merchant not found")</f>
        <v/>
      </c>
      <c r="J221">
        <f>IFERROR(VLOOKUP(C221,Merchants!$A$2:$D$41,3,FALSE),"Merchant not found")</f>
        <v/>
      </c>
      <c r="K221">
        <f>IFERROR(VLOOKUP(C221,Merchants!$A$2:$D$41,4,FALSE),"Merchant not found")</f>
        <v/>
      </c>
      <c r="L221" s="4">
        <f>HLOOKUP(F221,Fee_Tiers!$B$2:$E$3,2,FALSE)</f>
        <v/>
      </c>
      <c r="M221">
        <f>E221*L221</f>
        <v/>
      </c>
      <c r="N221" s="5" t="n">
        <v>46023</v>
      </c>
      <c r="O221">
        <f>C221&amp;"_"&amp;TEXT(N221,"yyyy-mm-dd")</f>
        <v/>
      </c>
      <c r="P221">
        <f>IFERROR(VLOOKUP(O221,Merchant_Day_Analysis!$A$5:$G$447,7,FALSE),"Not found")</f>
        <v/>
      </c>
    </row>
    <row r="222">
      <c r="A222" t="inlineStr">
        <is>
          <t>TXN100220</t>
        </is>
      </c>
      <c r="B222" t="n">
        <v>62</v>
      </c>
      <c r="C222" t="n">
        <v>1</v>
      </c>
      <c r="D222" s="6" t="n">
        <v>46031.38888888889</v>
      </c>
      <c r="E222" t="n">
        <v>4999</v>
      </c>
      <c r="F222" t="inlineStr">
        <is>
          <t>Wallet</t>
        </is>
      </c>
      <c r="G222" t="inlineStr">
        <is>
          <t>captured</t>
        </is>
      </c>
      <c r="H222" t="n">
        <v>63</v>
      </c>
      <c r="I222">
        <f>IFERROR(VLOOKUP(C222,Merchants!$A$2:$D$41,2,FALSE),"Merchant not found")</f>
        <v/>
      </c>
      <c r="J222">
        <f>IFERROR(VLOOKUP(C222,Merchants!$A$2:$D$41,3,FALSE),"Merchant not found")</f>
        <v/>
      </c>
      <c r="K222">
        <f>IFERROR(VLOOKUP(C222,Merchants!$A$2:$D$41,4,FALSE),"Merchant not found")</f>
        <v/>
      </c>
      <c r="L222" s="4">
        <f>HLOOKUP(F222,Fee_Tiers!$B$2:$E$3,2,FALSE)</f>
        <v/>
      </c>
      <c r="M222">
        <f>E222*L222</f>
        <v/>
      </c>
      <c r="N222" s="5" t="n">
        <v>46031</v>
      </c>
      <c r="O222">
        <f>C222&amp;"_"&amp;TEXT(N222,"yyyy-mm-dd")</f>
        <v/>
      </c>
      <c r="P222">
        <f>IFERROR(VLOOKUP(O222,Merchant_Day_Analysis!$A$5:$G$447,7,FALSE),"Not found")</f>
        <v/>
      </c>
    </row>
    <row r="223">
      <c r="A223" t="inlineStr">
        <is>
          <t>TXN100221</t>
        </is>
      </c>
      <c r="B223" t="n">
        <v>67</v>
      </c>
      <c r="C223" t="n">
        <v>25</v>
      </c>
      <c r="D223" s="6" t="n">
        <v>46046.54930555556</v>
      </c>
      <c r="E223" t="n">
        <v>49</v>
      </c>
      <c r="F223" t="inlineStr">
        <is>
          <t>UPI</t>
        </is>
      </c>
      <c r="G223" t="inlineStr">
        <is>
          <t>captured</t>
        </is>
      </c>
      <c r="H223" t="n">
        <v>68</v>
      </c>
      <c r="I223">
        <f>IFERROR(VLOOKUP(C223,Merchants!$A$2:$D$41,2,FALSE),"Merchant not found")</f>
        <v/>
      </c>
      <c r="J223">
        <f>IFERROR(VLOOKUP(C223,Merchants!$A$2:$D$41,3,FALSE),"Merchant not found")</f>
        <v/>
      </c>
      <c r="K223">
        <f>IFERROR(VLOOKUP(C223,Merchants!$A$2:$D$41,4,FALSE),"Merchant not found")</f>
        <v/>
      </c>
      <c r="L223" s="4">
        <f>HLOOKUP(F223,Fee_Tiers!$B$2:$E$3,2,FALSE)</f>
        <v/>
      </c>
      <c r="M223">
        <f>E223*L223</f>
        <v/>
      </c>
      <c r="N223" s="5" t="n">
        <v>46046</v>
      </c>
      <c r="O223">
        <f>C223&amp;"_"&amp;TEXT(N223,"yyyy-mm-dd")</f>
        <v/>
      </c>
      <c r="P223">
        <f>IFERROR(VLOOKUP(O223,Merchant_Day_Analysis!$A$5:$G$447,7,FALSE),"Not found")</f>
        <v/>
      </c>
    </row>
    <row r="224">
      <c r="A224" t="inlineStr">
        <is>
          <t>TXN100222</t>
        </is>
      </c>
      <c r="B224" t="n">
        <v>287</v>
      </c>
      <c r="C224" t="n">
        <v>23</v>
      </c>
      <c r="D224" s="6" t="n">
        <v>46045.31388888889</v>
      </c>
      <c r="E224" t="n">
        <v>49</v>
      </c>
      <c r="F224" t="inlineStr">
        <is>
          <t>UPI</t>
        </is>
      </c>
      <c r="G224" t="inlineStr">
        <is>
          <t>captured</t>
        </is>
      </c>
      <c r="H224" t="n">
        <v>9</v>
      </c>
      <c r="I224">
        <f>IFERROR(VLOOKUP(C224,Merchants!$A$2:$D$41,2,FALSE),"Merchant not found")</f>
        <v/>
      </c>
      <c r="J224">
        <f>IFERROR(VLOOKUP(C224,Merchants!$A$2:$D$41,3,FALSE),"Merchant not found")</f>
        <v/>
      </c>
      <c r="K224">
        <f>IFERROR(VLOOKUP(C224,Merchants!$A$2:$D$41,4,FALSE),"Merchant not found")</f>
        <v/>
      </c>
      <c r="L224" s="4">
        <f>HLOOKUP(F224,Fee_Tiers!$B$2:$E$3,2,FALSE)</f>
        <v/>
      </c>
      <c r="M224">
        <f>E224*L224</f>
        <v/>
      </c>
      <c r="N224" s="5" t="n">
        <v>46045</v>
      </c>
      <c r="O224">
        <f>C224&amp;"_"&amp;TEXT(N224,"yyyy-mm-dd")</f>
        <v/>
      </c>
      <c r="P224">
        <f>IFERROR(VLOOKUP(O224,Merchant_Day_Analysis!$A$5:$G$447,7,FALSE),"Not found")</f>
        <v/>
      </c>
    </row>
    <row r="225">
      <c r="A225" t="inlineStr">
        <is>
          <t>TXN100223</t>
        </is>
      </c>
      <c r="B225" t="n">
        <v>224</v>
      </c>
      <c r="C225" t="n">
        <v>2</v>
      </c>
      <c r="D225" s="6" t="n">
        <v>46035.95972222222</v>
      </c>
      <c r="E225" t="n">
        <v>49</v>
      </c>
      <c r="F225" t="inlineStr">
        <is>
          <t>Card</t>
        </is>
      </c>
      <c r="G225" t="inlineStr">
        <is>
          <t>captured</t>
        </is>
      </c>
      <c r="H225" t="n">
        <v>58</v>
      </c>
      <c r="I225">
        <f>IFERROR(VLOOKUP(C225,Merchants!$A$2:$D$41,2,FALSE),"Merchant not found")</f>
        <v/>
      </c>
      <c r="J225">
        <f>IFERROR(VLOOKUP(C225,Merchants!$A$2:$D$41,3,FALSE),"Merchant not found")</f>
        <v/>
      </c>
      <c r="K225">
        <f>IFERROR(VLOOKUP(C225,Merchants!$A$2:$D$41,4,FALSE),"Merchant not found")</f>
        <v/>
      </c>
      <c r="L225" s="4">
        <f>HLOOKUP(F225,Fee_Tiers!$B$2:$E$3,2,FALSE)</f>
        <v/>
      </c>
      <c r="M225">
        <f>E225*L225</f>
        <v/>
      </c>
      <c r="N225" s="5" t="n">
        <v>46035</v>
      </c>
      <c r="O225">
        <f>C225&amp;"_"&amp;TEXT(N225,"yyyy-mm-dd")</f>
        <v/>
      </c>
      <c r="P225">
        <f>IFERROR(VLOOKUP(O225,Merchant_Day_Analysis!$A$5:$G$447,7,FALSE),"Not found")</f>
        <v/>
      </c>
    </row>
    <row r="226">
      <c r="A226" t="inlineStr">
        <is>
          <t>TXN100224</t>
        </is>
      </c>
      <c r="B226" t="n">
        <v>161</v>
      </c>
      <c r="C226" t="n">
        <v>37</v>
      </c>
      <c r="D226" s="6" t="n">
        <v>46052.12152777778</v>
      </c>
      <c r="E226" t="n">
        <v>299</v>
      </c>
      <c r="F226" t="inlineStr">
        <is>
          <t>UPI</t>
        </is>
      </c>
      <c r="G226" t="inlineStr">
        <is>
          <t>captured</t>
        </is>
      </c>
      <c r="H226" t="n">
        <v>54</v>
      </c>
      <c r="I226">
        <f>IFERROR(VLOOKUP(C226,Merchants!$A$2:$D$41,2,FALSE),"Merchant not found")</f>
        <v/>
      </c>
      <c r="J226">
        <f>IFERROR(VLOOKUP(C226,Merchants!$A$2:$D$41,3,FALSE),"Merchant not found")</f>
        <v/>
      </c>
      <c r="K226">
        <f>IFERROR(VLOOKUP(C226,Merchants!$A$2:$D$41,4,FALSE),"Merchant not found")</f>
        <v/>
      </c>
      <c r="L226" s="4">
        <f>HLOOKUP(F226,Fee_Tiers!$B$2:$E$3,2,FALSE)</f>
        <v/>
      </c>
      <c r="M226">
        <f>E226*L226</f>
        <v/>
      </c>
      <c r="N226" s="5" t="n">
        <v>46052</v>
      </c>
      <c r="O226">
        <f>C226&amp;"_"&amp;TEXT(N226,"yyyy-mm-dd")</f>
        <v/>
      </c>
      <c r="P226">
        <f>IFERROR(VLOOKUP(O226,Merchant_Day_Analysis!$A$5:$G$447,7,FALSE),"Not found")</f>
        <v/>
      </c>
    </row>
    <row r="227">
      <c r="A227" t="inlineStr">
        <is>
          <t>TXN100225</t>
        </is>
      </c>
      <c r="B227" t="n">
        <v>328</v>
      </c>
      <c r="C227" t="n">
        <v>27</v>
      </c>
      <c r="D227" s="6" t="n">
        <v>46041.53125</v>
      </c>
      <c r="E227" t="n">
        <v>49</v>
      </c>
      <c r="F227" t="inlineStr">
        <is>
          <t>UPI</t>
        </is>
      </c>
      <c r="G227" t="inlineStr">
        <is>
          <t>chargeback</t>
        </is>
      </c>
      <c r="H227" t="n">
        <v>37</v>
      </c>
      <c r="I227">
        <f>IFERROR(VLOOKUP(C227,Merchants!$A$2:$D$41,2,FALSE),"Merchant not found")</f>
        <v/>
      </c>
      <c r="J227">
        <f>IFERROR(VLOOKUP(C227,Merchants!$A$2:$D$41,3,FALSE),"Merchant not found")</f>
        <v/>
      </c>
      <c r="K227">
        <f>IFERROR(VLOOKUP(C227,Merchants!$A$2:$D$41,4,FALSE),"Merchant not found")</f>
        <v/>
      </c>
      <c r="L227" s="4">
        <f>HLOOKUP(F227,Fee_Tiers!$B$2:$E$3,2,FALSE)</f>
        <v/>
      </c>
      <c r="M227">
        <f>E227*L227</f>
        <v/>
      </c>
      <c r="N227" s="5" t="n">
        <v>46041</v>
      </c>
      <c r="O227">
        <f>C227&amp;"_"&amp;TEXT(N227,"yyyy-mm-dd")</f>
        <v/>
      </c>
      <c r="P227">
        <f>IFERROR(VLOOKUP(O227,Merchant_Day_Analysis!$A$5:$G$447,7,FALSE),"Not found")</f>
        <v/>
      </c>
    </row>
    <row r="228">
      <c r="A228" t="inlineStr">
        <is>
          <t>TXN100226</t>
        </is>
      </c>
      <c r="B228" t="n">
        <v>167</v>
      </c>
      <c r="C228" t="n">
        <v>11</v>
      </c>
      <c r="D228" s="6" t="n">
        <v>46026.50069444445</v>
      </c>
      <c r="E228" t="n">
        <v>1499</v>
      </c>
      <c r="F228" t="inlineStr">
        <is>
          <t>Card</t>
        </is>
      </c>
      <c r="G228" t="inlineStr">
        <is>
          <t>failed</t>
        </is>
      </c>
      <c r="H228" t="n">
        <v>79</v>
      </c>
      <c r="I228">
        <f>IFERROR(VLOOKUP(C228,Merchants!$A$2:$D$41,2,FALSE),"Merchant not found")</f>
        <v/>
      </c>
      <c r="J228">
        <f>IFERROR(VLOOKUP(C228,Merchants!$A$2:$D$41,3,FALSE),"Merchant not found")</f>
        <v/>
      </c>
      <c r="K228">
        <f>IFERROR(VLOOKUP(C228,Merchants!$A$2:$D$41,4,FALSE),"Merchant not found")</f>
        <v/>
      </c>
      <c r="L228" s="4">
        <f>HLOOKUP(F228,Fee_Tiers!$B$2:$E$3,2,FALSE)</f>
        <v/>
      </c>
      <c r="M228">
        <f>E228*L228</f>
        <v/>
      </c>
      <c r="N228" s="5" t="n">
        <v>46026</v>
      </c>
      <c r="O228">
        <f>C228&amp;"_"&amp;TEXT(N228,"yyyy-mm-dd")</f>
        <v/>
      </c>
      <c r="P228">
        <f>IFERROR(VLOOKUP(O228,Merchant_Day_Analysis!$A$5:$G$447,7,FALSE),"Not found")</f>
        <v/>
      </c>
    </row>
    <row r="229">
      <c r="A229" t="inlineStr">
        <is>
          <t>TXN100227</t>
        </is>
      </c>
      <c r="B229" t="n">
        <v>186</v>
      </c>
      <c r="C229" t="n">
        <v>6</v>
      </c>
      <c r="D229" s="6" t="n">
        <v>46037.95694444444</v>
      </c>
      <c r="E229" t="n">
        <v>49</v>
      </c>
      <c r="F229" t="inlineStr">
        <is>
          <t>Wallet</t>
        </is>
      </c>
      <c r="G229" t="inlineStr">
        <is>
          <t>captured</t>
        </is>
      </c>
      <c r="H229" t="n">
        <v>55</v>
      </c>
      <c r="I229">
        <f>IFERROR(VLOOKUP(C229,Merchants!$A$2:$D$41,2,FALSE),"Merchant not found")</f>
        <v/>
      </c>
      <c r="J229">
        <f>IFERROR(VLOOKUP(C229,Merchants!$A$2:$D$41,3,FALSE),"Merchant not found")</f>
        <v/>
      </c>
      <c r="K229">
        <f>IFERROR(VLOOKUP(C229,Merchants!$A$2:$D$41,4,FALSE),"Merchant not found")</f>
        <v/>
      </c>
      <c r="L229" s="4">
        <f>HLOOKUP(F229,Fee_Tiers!$B$2:$E$3,2,FALSE)</f>
        <v/>
      </c>
      <c r="M229">
        <f>E229*L229</f>
        <v/>
      </c>
      <c r="N229" s="5" t="n">
        <v>46037</v>
      </c>
      <c r="O229">
        <f>C229&amp;"_"&amp;TEXT(N229,"yyyy-mm-dd")</f>
        <v/>
      </c>
      <c r="P229">
        <f>IFERROR(VLOOKUP(O229,Merchant_Day_Analysis!$A$5:$G$447,7,FALSE),"Not found")</f>
        <v/>
      </c>
    </row>
    <row r="230">
      <c r="A230" t="inlineStr">
        <is>
          <t>TXN100228</t>
        </is>
      </c>
      <c r="B230" t="n">
        <v>224</v>
      </c>
      <c r="C230" t="n">
        <v>38</v>
      </c>
      <c r="D230" s="6" t="n">
        <v>46050.13541666666</v>
      </c>
      <c r="E230" t="n">
        <v>299</v>
      </c>
      <c r="F230" t="inlineStr">
        <is>
          <t>Wallet</t>
        </is>
      </c>
      <c r="G230" t="inlineStr">
        <is>
          <t>failed</t>
        </is>
      </c>
      <c r="H230" t="n">
        <v>51</v>
      </c>
      <c r="I230">
        <f>IFERROR(VLOOKUP(C230,Merchants!$A$2:$D$41,2,FALSE),"Merchant not found")</f>
        <v/>
      </c>
      <c r="J230">
        <f>IFERROR(VLOOKUP(C230,Merchants!$A$2:$D$41,3,FALSE),"Merchant not found")</f>
        <v/>
      </c>
      <c r="K230">
        <f>IFERROR(VLOOKUP(C230,Merchants!$A$2:$D$41,4,FALSE),"Merchant not found")</f>
        <v/>
      </c>
      <c r="L230" s="4">
        <f>HLOOKUP(F230,Fee_Tiers!$B$2:$E$3,2,FALSE)</f>
        <v/>
      </c>
      <c r="M230">
        <f>E230*L230</f>
        <v/>
      </c>
      <c r="N230" s="5" t="n">
        <v>46050</v>
      </c>
      <c r="O230">
        <f>C230&amp;"_"&amp;TEXT(N230,"yyyy-mm-dd")</f>
        <v/>
      </c>
      <c r="P230">
        <f>IFERROR(VLOOKUP(O230,Merchant_Day_Analysis!$A$5:$G$447,7,FALSE),"Not found")</f>
        <v/>
      </c>
    </row>
    <row r="231">
      <c r="A231" t="inlineStr">
        <is>
          <t>TXN100229</t>
        </is>
      </c>
      <c r="B231" t="n">
        <v>159</v>
      </c>
      <c r="C231" t="n">
        <v>22</v>
      </c>
      <c r="D231" s="6" t="n">
        <v>46039.10069444445</v>
      </c>
      <c r="E231" t="n">
        <v>799</v>
      </c>
      <c r="F231" t="inlineStr">
        <is>
          <t>UPI</t>
        </is>
      </c>
      <c r="G231" t="inlineStr">
        <is>
          <t>captured</t>
        </is>
      </c>
      <c r="H231" t="n">
        <v>28</v>
      </c>
      <c r="I231">
        <f>IFERROR(VLOOKUP(C231,Merchants!$A$2:$D$41,2,FALSE),"Merchant not found")</f>
        <v/>
      </c>
      <c r="J231">
        <f>IFERROR(VLOOKUP(C231,Merchants!$A$2:$D$41,3,FALSE),"Merchant not found")</f>
        <v/>
      </c>
      <c r="K231">
        <f>IFERROR(VLOOKUP(C231,Merchants!$A$2:$D$41,4,FALSE),"Merchant not found")</f>
        <v/>
      </c>
      <c r="L231" s="4">
        <f>HLOOKUP(F231,Fee_Tiers!$B$2:$E$3,2,FALSE)</f>
        <v/>
      </c>
      <c r="M231">
        <f>E231*L231</f>
        <v/>
      </c>
      <c r="N231" s="5" t="n">
        <v>46039</v>
      </c>
      <c r="O231">
        <f>C231&amp;"_"&amp;TEXT(N231,"yyyy-mm-dd")</f>
        <v/>
      </c>
      <c r="P231">
        <f>IFERROR(VLOOKUP(O231,Merchant_Day_Analysis!$A$5:$G$447,7,FALSE),"Not found")</f>
        <v/>
      </c>
    </row>
    <row r="232">
      <c r="A232" t="inlineStr">
        <is>
          <t>TXN100230</t>
        </is>
      </c>
      <c r="B232" t="n">
        <v>262</v>
      </c>
      <c r="C232" t="n">
        <v>8</v>
      </c>
      <c r="D232" s="6" t="n">
        <v>46033.21111111111</v>
      </c>
      <c r="E232" t="n">
        <v>149</v>
      </c>
      <c r="F232" t="inlineStr">
        <is>
          <t>UPI</t>
        </is>
      </c>
      <c r="G232" t="inlineStr">
        <is>
          <t>captured</t>
        </is>
      </c>
      <c r="H232" t="n">
        <v>67</v>
      </c>
      <c r="I232">
        <f>IFERROR(VLOOKUP(C232,Merchants!$A$2:$D$41,2,FALSE),"Merchant not found")</f>
        <v/>
      </c>
      <c r="J232">
        <f>IFERROR(VLOOKUP(C232,Merchants!$A$2:$D$41,3,FALSE),"Merchant not found")</f>
        <v/>
      </c>
      <c r="K232">
        <f>IFERROR(VLOOKUP(C232,Merchants!$A$2:$D$41,4,FALSE),"Merchant not found")</f>
        <v/>
      </c>
      <c r="L232" s="4">
        <f>HLOOKUP(F232,Fee_Tiers!$B$2:$E$3,2,FALSE)</f>
        <v/>
      </c>
      <c r="M232">
        <f>E232*L232</f>
        <v/>
      </c>
      <c r="N232" s="5" t="n">
        <v>46033</v>
      </c>
      <c r="O232">
        <f>C232&amp;"_"&amp;TEXT(N232,"yyyy-mm-dd")</f>
        <v/>
      </c>
      <c r="P232">
        <f>IFERROR(VLOOKUP(O232,Merchant_Day_Analysis!$A$5:$G$447,7,FALSE),"Not found")</f>
        <v/>
      </c>
    </row>
    <row r="233">
      <c r="A233" t="inlineStr">
        <is>
          <t>TXN100231</t>
        </is>
      </c>
      <c r="B233" t="n">
        <v>179</v>
      </c>
      <c r="C233" t="n">
        <v>23</v>
      </c>
      <c r="D233" s="6" t="n">
        <v>46039.28958333333</v>
      </c>
      <c r="E233" t="n">
        <v>49</v>
      </c>
      <c r="F233" t="inlineStr">
        <is>
          <t>Wallet</t>
        </is>
      </c>
      <c r="G233" t="inlineStr">
        <is>
          <t>captured</t>
        </is>
      </c>
      <c r="H233" t="n">
        <v>93</v>
      </c>
      <c r="I233">
        <f>IFERROR(VLOOKUP(C233,Merchants!$A$2:$D$41,2,FALSE),"Merchant not found")</f>
        <v/>
      </c>
      <c r="J233">
        <f>IFERROR(VLOOKUP(C233,Merchants!$A$2:$D$41,3,FALSE),"Merchant not found")</f>
        <v/>
      </c>
      <c r="K233">
        <f>IFERROR(VLOOKUP(C233,Merchants!$A$2:$D$41,4,FALSE),"Merchant not found")</f>
        <v/>
      </c>
      <c r="L233" s="4">
        <f>HLOOKUP(F233,Fee_Tiers!$B$2:$E$3,2,FALSE)</f>
        <v/>
      </c>
      <c r="M233">
        <f>E233*L233</f>
        <v/>
      </c>
      <c r="N233" s="5" t="n">
        <v>46039</v>
      </c>
      <c r="O233">
        <f>C233&amp;"_"&amp;TEXT(N233,"yyyy-mm-dd")</f>
        <v/>
      </c>
      <c r="P233">
        <f>IFERROR(VLOOKUP(O233,Merchant_Day_Analysis!$A$5:$G$447,7,FALSE),"Not found")</f>
        <v/>
      </c>
    </row>
    <row r="234">
      <c r="A234" t="inlineStr">
        <is>
          <t>TXN100232</t>
        </is>
      </c>
      <c r="B234" t="n">
        <v>76</v>
      </c>
      <c r="C234" t="n">
        <v>16</v>
      </c>
      <c r="D234" s="6" t="n">
        <v>46049.86944444444</v>
      </c>
      <c r="E234" t="n">
        <v>299</v>
      </c>
      <c r="F234" t="inlineStr">
        <is>
          <t>UPI</t>
        </is>
      </c>
      <c r="G234" t="inlineStr">
        <is>
          <t>captured</t>
        </is>
      </c>
      <c r="H234" t="n">
        <v>13</v>
      </c>
      <c r="I234">
        <f>IFERROR(VLOOKUP(C234,Merchants!$A$2:$D$41,2,FALSE),"Merchant not found")</f>
        <v/>
      </c>
      <c r="J234">
        <f>IFERROR(VLOOKUP(C234,Merchants!$A$2:$D$41,3,FALSE),"Merchant not found")</f>
        <v/>
      </c>
      <c r="K234">
        <f>IFERROR(VLOOKUP(C234,Merchants!$A$2:$D$41,4,FALSE),"Merchant not found")</f>
        <v/>
      </c>
      <c r="L234" s="4">
        <f>HLOOKUP(F234,Fee_Tiers!$B$2:$E$3,2,FALSE)</f>
        <v/>
      </c>
      <c r="M234">
        <f>E234*L234</f>
        <v/>
      </c>
      <c r="N234" s="5" t="n">
        <v>46049</v>
      </c>
      <c r="O234">
        <f>C234&amp;"_"&amp;TEXT(N234,"yyyy-mm-dd")</f>
        <v/>
      </c>
      <c r="P234">
        <f>IFERROR(VLOOKUP(O234,Merchant_Day_Analysis!$A$5:$G$447,7,FALSE),"Not found")</f>
        <v/>
      </c>
    </row>
    <row r="235">
      <c r="A235" t="inlineStr">
        <is>
          <t>TXN100233</t>
        </is>
      </c>
      <c r="B235" t="n">
        <v>89</v>
      </c>
      <c r="C235" t="n">
        <v>39</v>
      </c>
      <c r="D235" s="6" t="n">
        <v>46027.34166666667</v>
      </c>
      <c r="E235" t="n">
        <v>299</v>
      </c>
      <c r="F235" t="inlineStr">
        <is>
          <t>UPI</t>
        </is>
      </c>
      <c r="G235" t="inlineStr">
        <is>
          <t>captured</t>
        </is>
      </c>
      <c r="H235" t="n">
        <v>19</v>
      </c>
      <c r="I235">
        <f>IFERROR(VLOOKUP(C235,Merchants!$A$2:$D$41,2,FALSE),"Merchant not found")</f>
        <v/>
      </c>
      <c r="J235">
        <f>IFERROR(VLOOKUP(C235,Merchants!$A$2:$D$41,3,FALSE),"Merchant not found")</f>
        <v/>
      </c>
      <c r="K235">
        <f>IFERROR(VLOOKUP(C235,Merchants!$A$2:$D$41,4,FALSE),"Merchant not found")</f>
        <v/>
      </c>
      <c r="L235" s="4">
        <f>HLOOKUP(F235,Fee_Tiers!$B$2:$E$3,2,FALSE)</f>
        <v/>
      </c>
      <c r="M235">
        <f>E235*L235</f>
        <v/>
      </c>
      <c r="N235" s="5" t="n">
        <v>46027</v>
      </c>
      <c r="O235">
        <f>C235&amp;"_"&amp;TEXT(N235,"yyyy-mm-dd")</f>
        <v/>
      </c>
      <c r="P235">
        <f>IFERROR(VLOOKUP(O235,Merchant_Day_Analysis!$A$5:$G$447,7,FALSE),"Not found")</f>
        <v/>
      </c>
    </row>
    <row r="236">
      <c r="A236" t="inlineStr">
        <is>
          <t>TXN100234</t>
        </is>
      </c>
      <c r="B236" t="n">
        <v>91</v>
      </c>
      <c r="C236" t="n">
        <v>32</v>
      </c>
      <c r="D236" s="6" t="n">
        <v>46047.83611111111</v>
      </c>
      <c r="E236" t="n">
        <v>49</v>
      </c>
      <c r="F236" t="inlineStr">
        <is>
          <t>UPI</t>
        </is>
      </c>
      <c r="G236" t="inlineStr">
        <is>
          <t>captured</t>
        </is>
      </c>
      <c r="H236" t="n">
        <v>59</v>
      </c>
      <c r="I236">
        <f>IFERROR(VLOOKUP(C236,Merchants!$A$2:$D$41,2,FALSE),"Merchant not found")</f>
        <v/>
      </c>
      <c r="J236">
        <f>IFERROR(VLOOKUP(C236,Merchants!$A$2:$D$41,3,FALSE),"Merchant not found")</f>
        <v/>
      </c>
      <c r="K236">
        <f>IFERROR(VLOOKUP(C236,Merchants!$A$2:$D$41,4,FALSE),"Merchant not found")</f>
        <v/>
      </c>
      <c r="L236" s="4">
        <f>HLOOKUP(F236,Fee_Tiers!$B$2:$E$3,2,FALSE)</f>
        <v/>
      </c>
      <c r="M236">
        <f>E236*L236</f>
        <v/>
      </c>
      <c r="N236" s="5" t="n">
        <v>46047</v>
      </c>
      <c r="O236">
        <f>C236&amp;"_"&amp;TEXT(N236,"yyyy-mm-dd")</f>
        <v/>
      </c>
      <c r="P236">
        <f>IFERROR(VLOOKUP(O236,Merchant_Day_Analysis!$A$5:$G$447,7,FALSE),"Not found")</f>
        <v/>
      </c>
    </row>
    <row r="237">
      <c r="A237" t="inlineStr">
        <is>
          <t>TXN100235</t>
        </is>
      </c>
      <c r="B237" t="n">
        <v>297</v>
      </c>
      <c r="C237" t="n">
        <v>29</v>
      </c>
      <c r="D237" s="6" t="n">
        <v>46047.78333333333</v>
      </c>
      <c r="E237" t="n">
        <v>99</v>
      </c>
      <c r="F237" t="inlineStr">
        <is>
          <t>Card</t>
        </is>
      </c>
      <c r="G237" t="inlineStr">
        <is>
          <t>chargeback</t>
        </is>
      </c>
      <c r="H237" t="n">
        <v>87</v>
      </c>
      <c r="I237">
        <f>IFERROR(VLOOKUP(C237,Merchants!$A$2:$D$41,2,FALSE),"Merchant not found")</f>
        <v/>
      </c>
      <c r="J237">
        <f>IFERROR(VLOOKUP(C237,Merchants!$A$2:$D$41,3,FALSE),"Merchant not found")</f>
        <v/>
      </c>
      <c r="K237">
        <f>IFERROR(VLOOKUP(C237,Merchants!$A$2:$D$41,4,FALSE),"Merchant not found")</f>
        <v/>
      </c>
      <c r="L237" s="4">
        <f>HLOOKUP(F237,Fee_Tiers!$B$2:$E$3,2,FALSE)</f>
        <v/>
      </c>
      <c r="M237">
        <f>E237*L237</f>
        <v/>
      </c>
      <c r="N237" s="5" t="n">
        <v>46047</v>
      </c>
      <c r="O237">
        <f>C237&amp;"_"&amp;TEXT(N237,"yyyy-mm-dd")</f>
        <v/>
      </c>
      <c r="P237">
        <f>IFERROR(VLOOKUP(O237,Merchant_Day_Analysis!$A$5:$G$447,7,FALSE),"Not found")</f>
        <v/>
      </c>
    </row>
    <row r="238">
      <c r="A238" t="inlineStr">
        <is>
          <t>TXN100236</t>
        </is>
      </c>
      <c r="B238" t="n">
        <v>326</v>
      </c>
      <c r="C238" t="n">
        <v>40</v>
      </c>
      <c r="D238" s="6" t="n">
        <v>46052.77847222222</v>
      </c>
      <c r="E238" t="n">
        <v>499</v>
      </c>
      <c r="F238" t="inlineStr">
        <is>
          <t>Card</t>
        </is>
      </c>
      <c r="G238" t="inlineStr">
        <is>
          <t>captured</t>
        </is>
      </c>
      <c r="H238" t="n">
        <v>41</v>
      </c>
      <c r="I238">
        <f>IFERROR(VLOOKUP(C238,Merchants!$A$2:$D$41,2,FALSE),"Merchant not found")</f>
        <v/>
      </c>
      <c r="J238">
        <f>IFERROR(VLOOKUP(C238,Merchants!$A$2:$D$41,3,FALSE),"Merchant not found")</f>
        <v/>
      </c>
      <c r="K238">
        <f>IFERROR(VLOOKUP(C238,Merchants!$A$2:$D$41,4,FALSE),"Merchant not found")</f>
        <v/>
      </c>
      <c r="L238" s="4">
        <f>HLOOKUP(F238,Fee_Tiers!$B$2:$E$3,2,FALSE)</f>
        <v/>
      </c>
      <c r="M238">
        <f>E238*L238</f>
        <v/>
      </c>
      <c r="N238" s="5" t="n">
        <v>46052</v>
      </c>
      <c r="O238">
        <f>C238&amp;"_"&amp;TEXT(N238,"yyyy-mm-dd")</f>
        <v/>
      </c>
      <c r="P238">
        <f>IFERROR(VLOOKUP(O238,Merchant_Day_Analysis!$A$5:$G$447,7,FALSE),"Not found")</f>
        <v/>
      </c>
    </row>
    <row r="239">
      <c r="A239" t="inlineStr">
        <is>
          <t>TXN100237</t>
        </is>
      </c>
      <c r="B239" t="n">
        <v>78</v>
      </c>
      <c r="C239" t="n">
        <v>29</v>
      </c>
      <c r="D239" s="6" t="n">
        <v>46050.84722222222</v>
      </c>
      <c r="E239" t="n">
        <v>149</v>
      </c>
      <c r="F239" t="inlineStr">
        <is>
          <t>UPI</t>
        </is>
      </c>
      <c r="G239" t="inlineStr">
        <is>
          <t>captured</t>
        </is>
      </c>
      <c r="H239" t="n">
        <v>8</v>
      </c>
      <c r="I239">
        <f>IFERROR(VLOOKUP(C239,Merchants!$A$2:$D$41,2,FALSE),"Merchant not found")</f>
        <v/>
      </c>
      <c r="J239">
        <f>IFERROR(VLOOKUP(C239,Merchants!$A$2:$D$41,3,FALSE),"Merchant not found")</f>
        <v/>
      </c>
      <c r="K239">
        <f>IFERROR(VLOOKUP(C239,Merchants!$A$2:$D$41,4,FALSE),"Merchant not found")</f>
        <v/>
      </c>
      <c r="L239" s="4">
        <f>HLOOKUP(F239,Fee_Tiers!$B$2:$E$3,2,FALSE)</f>
        <v/>
      </c>
      <c r="M239">
        <f>E239*L239</f>
        <v/>
      </c>
      <c r="N239" s="5" t="n">
        <v>46050</v>
      </c>
      <c r="O239">
        <f>C239&amp;"_"&amp;TEXT(N239,"yyyy-mm-dd")</f>
        <v/>
      </c>
      <c r="P239">
        <f>IFERROR(VLOOKUP(O239,Merchant_Day_Analysis!$A$5:$G$447,7,FALSE),"Not found")</f>
        <v/>
      </c>
    </row>
    <row r="240">
      <c r="A240" t="inlineStr">
        <is>
          <t>TXN100238</t>
        </is>
      </c>
      <c r="B240" t="n">
        <v>156</v>
      </c>
      <c r="C240" t="n">
        <v>18</v>
      </c>
      <c r="D240" s="6" t="n">
        <v>46038.61111111111</v>
      </c>
      <c r="E240" t="n">
        <v>2999</v>
      </c>
      <c r="F240" t="inlineStr">
        <is>
          <t>Card</t>
        </is>
      </c>
      <c r="G240" t="inlineStr">
        <is>
          <t>captured</t>
        </is>
      </c>
      <c r="H240" t="n">
        <v>75</v>
      </c>
      <c r="I240">
        <f>IFERROR(VLOOKUP(C240,Merchants!$A$2:$D$41,2,FALSE),"Merchant not found")</f>
        <v/>
      </c>
      <c r="J240">
        <f>IFERROR(VLOOKUP(C240,Merchants!$A$2:$D$41,3,FALSE),"Merchant not found")</f>
        <v/>
      </c>
      <c r="K240">
        <f>IFERROR(VLOOKUP(C240,Merchants!$A$2:$D$41,4,FALSE),"Merchant not found")</f>
        <v/>
      </c>
      <c r="L240" s="4">
        <f>HLOOKUP(F240,Fee_Tiers!$B$2:$E$3,2,FALSE)</f>
        <v/>
      </c>
      <c r="M240">
        <f>E240*L240</f>
        <v/>
      </c>
      <c r="N240" s="5" t="n">
        <v>46038</v>
      </c>
      <c r="O240">
        <f>C240&amp;"_"&amp;TEXT(N240,"yyyy-mm-dd")</f>
        <v/>
      </c>
      <c r="P240">
        <f>IFERROR(VLOOKUP(O240,Merchant_Day_Analysis!$A$5:$G$447,7,FALSE),"Not found")</f>
        <v/>
      </c>
    </row>
    <row r="241">
      <c r="A241" t="inlineStr">
        <is>
          <t>TXN100239</t>
        </is>
      </c>
      <c r="B241" t="n">
        <v>38</v>
      </c>
      <c r="C241" t="n">
        <v>20</v>
      </c>
      <c r="D241" s="6" t="n">
        <v>46024.48055555556</v>
      </c>
      <c r="E241" t="n">
        <v>49</v>
      </c>
      <c r="F241" t="inlineStr">
        <is>
          <t>Wallet</t>
        </is>
      </c>
      <c r="G241" t="inlineStr">
        <is>
          <t>failed</t>
        </is>
      </c>
      <c r="H241" t="n">
        <v>59</v>
      </c>
      <c r="I241">
        <f>IFERROR(VLOOKUP(C241,Merchants!$A$2:$D$41,2,FALSE),"Merchant not found")</f>
        <v/>
      </c>
      <c r="J241">
        <f>IFERROR(VLOOKUP(C241,Merchants!$A$2:$D$41,3,FALSE),"Merchant not found")</f>
        <v/>
      </c>
      <c r="K241">
        <f>IFERROR(VLOOKUP(C241,Merchants!$A$2:$D$41,4,FALSE),"Merchant not found")</f>
        <v/>
      </c>
      <c r="L241" s="4">
        <f>HLOOKUP(F241,Fee_Tiers!$B$2:$E$3,2,FALSE)</f>
        <v/>
      </c>
      <c r="M241">
        <f>E241*L241</f>
        <v/>
      </c>
      <c r="N241" s="5" t="n">
        <v>46024</v>
      </c>
      <c r="O241">
        <f>C241&amp;"_"&amp;TEXT(N241,"yyyy-mm-dd")</f>
        <v/>
      </c>
      <c r="P241">
        <f>IFERROR(VLOOKUP(O241,Merchant_Day_Analysis!$A$5:$G$447,7,FALSE),"Not found")</f>
        <v/>
      </c>
    </row>
    <row r="242">
      <c r="A242" t="inlineStr">
        <is>
          <t>TXN100240</t>
        </is>
      </c>
      <c r="B242" t="n">
        <v>189</v>
      </c>
      <c r="C242" t="n">
        <v>19</v>
      </c>
      <c r="D242" s="6" t="n">
        <v>46037.04375</v>
      </c>
      <c r="E242" t="n">
        <v>99</v>
      </c>
      <c r="F242" t="inlineStr">
        <is>
          <t>UPI</t>
        </is>
      </c>
      <c r="G242" t="inlineStr">
        <is>
          <t>failed</t>
        </is>
      </c>
      <c r="H242" t="n">
        <v>9</v>
      </c>
      <c r="I242">
        <f>IFERROR(VLOOKUP(C242,Merchants!$A$2:$D$41,2,FALSE),"Merchant not found")</f>
        <v/>
      </c>
      <c r="J242">
        <f>IFERROR(VLOOKUP(C242,Merchants!$A$2:$D$41,3,FALSE),"Merchant not found")</f>
        <v/>
      </c>
      <c r="K242">
        <f>IFERROR(VLOOKUP(C242,Merchants!$A$2:$D$41,4,FALSE),"Merchant not found")</f>
        <v/>
      </c>
      <c r="L242" s="4">
        <f>HLOOKUP(F242,Fee_Tiers!$B$2:$E$3,2,FALSE)</f>
        <v/>
      </c>
      <c r="M242">
        <f>E242*L242</f>
        <v/>
      </c>
      <c r="N242" s="5" t="n">
        <v>46037</v>
      </c>
      <c r="O242">
        <f>C242&amp;"_"&amp;TEXT(N242,"yyyy-mm-dd")</f>
        <v/>
      </c>
      <c r="P242">
        <f>IFERROR(VLOOKUP(O242,Merchant_Day_Analysis!$A$5:$G$447,7,FALSE),"Not found")</f>
        <v/>
      </c>
    </row>
    <row r="243">
      <c r="A243" t="inlineStr">
        <is>
          <t>TXN100241</t>
        </is>
      </c>
      <c r="B243" t="n">
        <v>305</v>
      </c>
      <c r="C243" t="n">
        <v>33</v>
      </c>
      <c r="D243" s="6" t="n">
        <v>46043.11041666667</v>
      </c>
      <c r="E243" t="n">
        <v>299</v>
      </c>
      <c r="F243" t="inlineStr">
        <is>
          <t>Card</t>
        </is>
      </c>
      <c r="G243" t="inlineStr">
        <is>
          <t>captured</t>
        </is>
      </c>
      <c r="H243" t="n">
        <v>49</v>
      </c>
      <c r="I243">
        <f>IFERROR(VLOOKUP(C243,Merchants!$A$2:$D$41,2,FALSE),"Merchant not found")</f>
        <v/>
      </c>
      <c r="J243">
        <f>IFERROR(VLOOKUP(C243,Merchants!$A$2:$D$41,3,FALSE),"Merchant not found")</f>
        <v/>
      </c>
      <c r="K243">
        <f>IFERROR(VLOOKUP(C243,Merchants!$A$2:$D$41,4,FALSE),"Merchant not found")</f>
        <v/>
      </c>
      <c r="L243" s="4">
        <f>HLOOKUP(F243,Fee_Tiers!$B$2:$E$3,2,FALSE)</f>
        <v/>
      </c>
      <c r="M243">
        <f>E243*L243</f>
        <v/>
      </c>
      <c r="N243" s="5" t="n">
        <v>46043</v>
      </c>
      <c r="O243">
        <f>C243&amp;"_"&amp;TEXT(N243,"yyyy-mm-dd")</f>
        <v/>
      </c>
      <c r="P243">
        <f>IFERROR(VLOOKUP(O243,Merchant_Day_Analysis!$A$5:$G$447,7,FALSE),"Not found")</f>
        <v/>
      </c>
    </row>
    <row r="244">
      <c r="A244" t="inlineStr">
        <is>
          <t>TXN100242</t>
        </is>
      </c>
      <c r="B244" t="n">
        <v>22</v>
      </c>
      <c r="C244" t="n">
        <v>29</v>
      </c>
      <c r="D244" s="6" t="n">
        <v>46037.77430555555</v>
      </c>
      <c r="E244" t="n">
        <v>799</v>
      </c>
      <c r="F244" t="inlineStr">
        <is>
          <t>UPI</t>
        </is>
      </c>
      <c r="G244" t="inlineStr">
        <is>
          <t>captured</t>
        </is>
      </c>
      <c r="H244" t="n">
        <v>73</v>
      </c>
      <c r="I244">
        <f>IFERROR(VLOOKUP(C244,Merchants!$A$2:$D$41,2,FALSE),"Merchant not found")</f>
        <v/>
      </c>
      <c r="J244">
        <f>IFERROR(VLOOKUP(C244,Merchants!$A$2:$D$41,3,FALSE),"Merchant not found")</f>
        <v/>
      </c>
      <c r="K244">
        <f>IFERROR(VLOOKUP(C244,Merchants!$A$2:$D$41,4,FALSE),"Merchant not found")</f>
        <v/>
      </c>
      <c r="L244" s="4">
        <f>HLOOKUP(F244,Fee_Tiers!$B$2:$E$3,2,FALSE)</f>
        <v/>
      </c>
      <c r="M244">
        <f>E244*L244</f>
        <v/>
      </c>
      <c r="N244" s="5" t="n">
        <v>46037</v>
      </c>
      <c r="O244">
        <f>C244&amp;"_"&amp;TEXT(N244,"yyyy-mm-dd")</f>
        <v/>
      </c>
      <c r="P244">
        <f>IFERROR(VLOOKUP(O244,Merchant_Day_Analysis!$A$5:$G$447,7,FALSE),"Not found")</f>
        <v/>
      </c>
    </row>
    <row r="245">
      <c r="A245" t="inlineStr">
        <is>
          <t>TXN100243</t>
        </is>
      </c>
      <c r="B245" t="n">
        <v>310</v>
      </c>
      <c r="C245" t="n">
        <v>31</v>
      </c>
      <c r="D245" s="6" t="n">
        <v>46043.26388888889</v>
      </c>
      <c r="E245" t="n">
        <v>49</v>
      </c>
      <c r="F245" t="inlineStr">
        <is>
          <t>Card</t>
        </is>
      </c>
      <c r="G245" t="inlineStr">
        <is>
          <t>captured</t>
        </is>
      </c>
      <c r="H245" t="n">
        <v>64</v>
      </c>
      <c r="I245">
        <f>IFERROR(VLOOKUP(C245,Merchants!$A$2:$D$41,2,FALSE),"Merchant not found")</f>
        <v/>
      </c>
      <c r="J245">
        <f>IFERROR(VLOOKUP(C245,Merchants!$A$2:$D$41,3,FALSE),"Merchant not found")</f>
        <v/>
      </c>
      <c r="K245">
        <f>IFERROR(VLOOKUP(C245,Merchants!$A$2:$D$41,4,FALSE),"Merchant not found")</f>
        <v/>
      </c>
      <c r="L245" s="4">
        <f>HLOOKUP(F245,Fee_Tiers!$B$2:$E$3,2,FALSE)</f>
        <v/>
      </c>
      <c r="M245">
        <f>E245*L245</f>
        <v/>
      </c>
      <c r="N245" s="5" t="n">
        <v>46043</v>
      </c>
      <c r="O245">
        <f>C245&amp;"_"&amp;TEXT(N245,"yyyy-mm-dd")</f>
        <v/>
      </c>
      <c r="P245">
        <f>IFERROR(VLOOKUP(O245,Merchant_Day_Analysis!$A$5:$G$447,7,FALSE),"Not found")</f>
        <v/>
      </c>
    </row>
    <row r="246">
      <c r="A246" t="inlineStr">
        <is>
          <t>TXN100244</t>
        </is>
      </c>
      <c r="B246" t="n">
        <v>53</v>
      </c>
      <c r="C246" t="n">
        <v>22</v>
      </c>
      <c r="D246" s="6" t="n">
        <v>46027.06111111111</v>
      </c>
      <c r="E246" t="n">
        <v>299</v>
      </c>
      <c r="F246" t="inlineStr">
        <is>
          <t>UPI</t>
        </is>
      </c>
      <c r="G246" t="inlineStr">
        <is>
          <t>captured</t>
        </is>
      </c>
      <c r="H246" t="n">
        <v>91</v>
      </c>
      <c r="I246">
        <f>IFERROR(VLOOKUP(C246,Merchants!$A$2:$D$41,2,FALSE),"Merchant not found")</f>
        <v/>
      </c>
      <c r="J246">
        <f>IFERROR(VLOOKUP(C246,Merchants!$A$2:$D$41,3,FALSE),"Merchant not found")</f>
        <v/>
      </c>
      <c r="K246">
        <f>IFERROR(VLOOKUP(C246,Merchants!$A$2:$D$41,4,FALSE),"Merchant not found")</f>
        <v/>
      </c>
      <c r="L246" s="4">
        <f>HLOOKUP(F246,Fee_Tiers!$B$2:$E$3,2,FALSE)</f>
        <v/>
      </c>
      <c r="M246">
        <f>E246*L246</f>
        <v/>
      </c>
      <c r="N246" s="5" t="n">
        <v>46027</v>
      </c>
      <c r="O246">
        <f>C246&amp;"_"&amp;TEXT(N246,"yyyy-mm-dd")</f>
        <v/>
      </c>
      <c r="P246">
        <f>IFERROR(VLOOKUP(O246,Merchant_Day_Analysis!$A$5:$G$447,7,FALSE),"Not found")</f>
        <v/>
      </c>
    </row>
    <row r="247">
      <c r="A247" t="inlineStr">
        <is>
          <t>TXN100245</t>
        </is>
      </c>
      <c r="B247" t="n">
        <v>89</v>
      </c>
      <c r="C247" t="n">
        <v>3</v>
      </c>
      <c r="D247" s="6" t="n">
        <v>46025.69513888889</v>
      </c>
      <c r="E247" t="n">
        <v>149</v>
      </c>
      <c r="F247" t="inlineStr">
        <is>
          <t>Card</t>
        </is>
      </c>
      <c r="G247" t="inlineStr">
        <is>
          <t>captured</t>
        </is>
      </c>
      <c r="H247" t="n">
        <v>31</v>
      </c>
      <c r="I247">
        <f>IFERROR(VLOOKUP(C247,Merchants!$A$2:$D$41,2,FALSE),"Merchant not found")</f>
        <v/>
      </c>
      <c r="J247">
        <f>IFERROR(VLOOKUP(C247,Merchants!$A$2:$D$41,3,FALSE),"Merchant not found")</f>
        <v/>
      </c>
      <c r="K247">
        <f>IFERROR(VLOOKUP(C247,Merchants!$A$2:$D$41,4,FALSE),"Merchant not found")</f>
        <v/>
      </c>
      <c r="L247" s="4">
        <f>HLOOKUP(F247,Fee_Tiers!$B$2:$E$3,2,FALSE)</f>
        <v/>
      </c>
      <c r="M247">
        <f>E247*L247</f>
        <v/>
      </c>
      <c r="N247" s="5" t="n">
        <v>46025</v>
      </c>
      <c r="O247">
        <f>C247&amp;"_"&amp;TEXT(N247,"yyyy-mm-dd")</f>
        <v/>
      </c>
      <c r="P247">
        <f>IFERROR(VLOOKUP(O247,Merchant_Day_Analysis!$A$5:$G$447,7,FALSE),"Not found")</f>
        <v/>
      </c>
    </row>
    <row r="248">
      <c r="A248" t="inlineStr">
        <is>
          <t>TXN100246</t>
        </is>
      </c>
      <c r="B248" t="n">
        <v>269</v>
      </c>
      <c r="C248" t="n">
        <v>34</v>
      </c>
      <c r="D248" s="6" t="n">
        <v>46045.60277777778</v>
      </c>
      <c r="E248" t="n">
        <v>149</v>
      </c>
      <c r="F248" t="inlineStr">
        <is>
          <t>UPI</t>
        </is>
      </c>
      <c r="G248" t="inlineStr">
        <is>
          <t>captured</t>
        </is>
      </c>
      <c r="H248" t="n">
        <v>78</v>
      </c>
      <c r="I248">
        <f>IFERROR(VLOOKUP(C248,Merchants!$A$2:$D$41,2,FALSE),"Merchant not found")</f>
        <v/>
      </c>
      <c r="J248">
        <f>IFERROR(VLOOKUP(C248,Merchants!$A$2:$D$41,3,FALSE),"Merchant not found")</f>
        <v/>
      </c>
      <c r="K248">
        <f>IFERROR(VLOOKUP(C248,Merchants!$A$2:$D$41,4,FALSE),"Merchant not found")</f>
        <v/>
      </c>
      <c r="L248" s="4">
        <f>HLOOKUP(F248,Fee_Tiers!$B$2:$E$3,2,FALSE)</f>
        <v/>
      </c>
      <c r="M248">
        <f>E248*L248</f>
        <v/>
      </c>
      <c r="N248" s="5" t="n">
        <v>46045</v>
      </c>
      <c r="O248">
        <f>C248&amp;"_"&amp;TEXT(N248,"yyyy-mm-dd")</f>
        <v/>
      </c>
      <c r="P248">
        <f>IFERROR(VLOOKUP(O248,Merchant_Day_Analysis!$A$5:$G$447,7,FALSE),"Not found")</f>
        <v/>
      </c>
    </row>
    <row r="249">
      <c r="A249" t="inlineStr">
        <is>
          <t>TXN100247</t>
        </is>
      </c>
      <c r="B249" t="n">
        <v>145</v>
      </c>
      <c r="C249" t="n">
        <v>25</v>
      </c>
      <c r="D249" s="6" t="n">
        <v>46028.47430555556</v>
      </c>
      <c r="E249" t="n">
        <v>799</v>
      </c>
      <c r="F249" t="inlineStr">
        <is>
          <t>UPI</t>
        </is>
      </c>
      <c r="G249" t="inlineStr">
        <is>
          <t>captured</t>
        </is>
      </c>
      <c r="H249" t="n">
        <v>52</v>
      </c>
      <c r="I249">
        <f>IFERROR(VLOOKUP(C249,Merchants!$A$2:$D$41,2,FALSE),"Merchant not found")</f>
        <v/>
      </c>
      <c r="J249">
        <f>IFERROR(VLOOKUP(C249,Merchants!$A$2:$D$41,3,FALSE),"Merchant not found")</f>
        <v/>
      </c>
      <c r="K249">
        <f>IFERROR(VLOOKUP(C249,Merchants!$A$2:$D$41,4,FALSE),"Merchant not found")</f>
        <v/>
      </c>
      <c r="L249" s="4">
        <f>HLOOKUP(F249,Fee_Tiers!$B$2:$E$3,2,FALSE)</f>
        <v/>
      </c>
      <c r="M249">
        <f>E249*L249</f>
        <v/>
      </c>
      <c r="N249" s="5" t="n">
        <v>46028</v>
      </c>
      <c r="O249">
        <f>C249&amp;"_"&amp;TEXT(N249,"yyyy-mm-dd")</f>
        <v/>
      </c>
      <c r="P249">
        <f>IFERROR(VLOOKUP(O249,Merchant_Day_Analysis!$A$5:$G$447,7,FALSE),"Not found")</f>
        <v/>
      </c>
    </row>
    <row r="250">
      <c r="A250" t="inlineStr">
        <is>
          <t>TXN100248</t>
        </is>
      </c>
      <c r="B250" t="n">
        <v>307</v>
      </c>
      <c r="C250" t="n">
        <v>4</v>
      </c>
      <c r="D250" s="6" t="n">
        <v>46047.44652777778</v>
      </c>
      <c r="E250" t="n">
        <v>1499</v>
      </c>
      <c r="F250" t="inlineStr">
        <is>
          <t>UPI</t>
        </is>
      </c>
      <c r="G250" t="inlineStr">
        <is>
          <t>captured</t>
        </is>
      </c>
      <c r="H250" t="n">
        <v>80</v>
      </c>
      <c r="I250">
        <f>IFERROR(VLOOKUP(C250,Merchants!$A$2:$D$41,2,FALSE),"Merchant not found")</f>
        <v/>
      </c>
      <c r="J250">
        <f>IFERROR(VLOOKUP(C250,Merchants!$A$2:$D$41,3,FALSE),"Merchant not found")</f>
        <v/>
      </c>
      <c r="K250">
        <f>IFERROR(VLOOKUP(C250,Merchants!$A$2:$D$41,4,FALSE),"Merchant not found")</f>
        <v/>
      </c>
      <c r="L250" s="4">
        <f>HLOOKUP(F250,Fee_Tiers!$B$2:$E$3,2,FALSE)</f>
        <v/>
      </c>
      <c r="M250">
        <f>E250*L250</f>
        <v/>
      </c>
      <c r="N250" s="5" t="n">
        <v>46047</v>
      </c>
      <c r="O250">
        <f>C250&amp;"_"&amp;TEXT(N250,"yyyy-mm-dd")</f>
        <v/>
      </c>
      <c r="P250">
        <f>IFERROR(VLOOKUP(O250,Merchant_Day_Analysis!$A$5:$G$447,7,FALSE),"Not found")</f>
        <v/>
      </c>
    </row>
    <row r="251">
      <c r="A251" t="inlineStr">
        <is>
          <t>TXN100249</t>
        </is>
      </c>
      <c r="B251" t="n">
        <v>169</v>
      </c>
      <c r="C251" t="n">
        <v>7</v>
      </c>
      <c r="D251" s="6" t="n">
        <v>46043.41944444444</v>
      </c>
      <c r="E251" t="n">
        <v>1499</v>
      </c>
      <c r="F251" t="inlineStr">
        <is>
          <t>Wallet</t>
        </is>
      </c>
      <c r="G251" t="inlineStr">
        <is>
          <t>captured</t>
        </is>
      </c>
      <c r="H251" t="n">
        <v>71</v>
      </c>
      <c r="I251">
        <f>IFERROR(VLOOKUP(C251,Merchants!$A$2:$D$41,2,FALSE),"Merchant not found")</f>
        <v/>
      </c>
      <c r="J251">
        <f>IFERROR(VLOOKUP(C251,Merchants!$A$2:$D$41,3,FALSE),"Merchant not found")</f>
        <v/>
      </c>
      <c r="K251">
        <f>IFERROR(VLOOKUP(C251,Merchants!$A$2:$D$41,4,FALSE),"Merchant not found")</f>
        <v/>
      </c>
      <c r="L251" s="4">
        <f>HLOOKUP(F251,Fee_Tiers!$B$2:$E$3,2,FALSE)</f>
        <v/>
      </c>
      <c r="M251">
        <f>E251*L251</f>
        <v/>
      </c>
      <c r="N251" s="5" t="n">
        <v>46043</v>
      </c>
      <c r="O251">
        <f>C251&amp;"_"&amp;TEXT(N251,"yyyy-mm-dd")</f>
        <v/>
      </c>
      <c r="P251">
        <f>IFERROR(VLOOKUP(O251,Merchant_Day_Analysis!$A$5:$G$447,7,FALSE),"Not found")</f>
        <v/>
      </c>
    </row>
    <row r="252">
      <c r="A252" t="inlineStr">
        <is>
          <t>TXN100250</t>
        </is>
      </c>
      <c r="B252" t="n">
        <v>130</v>
      </c>
      <c r="C252" t="n">
        <v>39</v>
      </c>
      <c r="D252" s="6" t="n">
        <v>46044.5125</v>
      </c>
      <c r="E252" t="n">
        <v>2999</v>
      </c>
      <c r="F252" t="inlineStr">
        <is>
          <t>Wallet</t>
        </is>
      </c>
      <c r="G252" t="inlineStr">
        <is>
          <t>captured</t>
        </is>
      </c>
      <c r="H252" t="n">
        <v>19</v>
      </c>
      <c r="I252">
        <f>IFERROR(VLOOKUP(C252,Merchants!$A$2:$D$41,2,FALSE),"Merchant not found")</f>
        <v/>
      </c>
      <c r="J252">
        <f>IFERROR(VLOOKUP(C252,Merchants!$A$2:$D$41,3,FALSE),"Merchant not found")</f>
        <v/>
      </c>
      <c r="K252">
        <f>IFERROR(VLOOKUP(C252,Merchants!$A$2:$D$41,4,FALSE),"Merchant not found")</f>
        <v/>
      </c>
      <c r="L252" s="4">
        <f>HLOOKUP(F252,Fee_Tiers!$B$2:$E$3,2,FALSE)</f>
        <v/>
      </c>
      <c r="M252">
        <f>E252*L252</f>
        <v/>
      </c>
      <c r="N252" s="5" t="n">
        <v>46044</v>
      </c>
      <c r="O252">
        <f>C252&amp;"_"&amp;TEXT(N252,"yyyy-mm-dd")</f>
        <v/>
      </c>
      <c r="P252">
        <f>IFERROR(VLOOKUP(O252,Merchant_Day_Analysis!$A$5:$G$447,7,FALSE),"Not found")</f>
        <v/>
      </c>
    </row>
    <row r="253">
      <c r="A253" t="inlineStr">
        <is>
          <t>TXN100251</t>
        </is>
      </c>
      <c r="B253" t="n">
        <v>340</v>
      </c>
      <c r="C253" t="n">
        <v>10</v>
      </c>
      <c r="D253" s="6" t="n">
        <v>46033.10902777778</v>
      </c>
      <c r="E253" t="n">
        <v>49</v>
      </c>
      <c r="F253" t="inlineStr">
        <is>
          <t>Card</t>
        </is>
      </c>
      <c r="G253" t="inlineStr">
        <is>
          <t>captured</t>
        </is>
      </c>
      <c r="H253" t="n">
        <v>44</v>
      </c>
      <c r="I253">
        <f>IFERROR(VLOOKUP(C253,Merchants!$A$2:$D$41,2,FALSE),"Merchant not found")</f>
        <v/>
      </c>
      <c r="J253">
        <f>IFERROR(VLOOKUP(C253,Merchants!$A$2:$D$41,3,FALSE),"Merchant not found")</f>
        <v/>
      </c>
      <c r="K253">
        <f>IFERROR(VLOOKUP(C253,Merchants!$A$2:$D$41,4,FALSE),"Merchant not found")</f>
        <v/>
      </c>
      <c r="L253" s="4">
        <f>HLOOKUP(F253,Fee_Tiers!$B$2:$E$3,2,FALSE)</f>
        <v/>
      </c>
      <c r="M253">
        <f>E253*L253</f>
        <v/>
      </c>
      <c r="N253" s="5" t="n">
        <v>46033</v>
      </c>
      <c r="O253">
        <f>C253&amp;"_"&amp;TEXT(N253,"yyyy-mm-dd")</f>
        <v/>
      </c>
      <c r="P253">
        <f>IFERROR(VLOOKUP(O253,Merchant_Day_Analysis!$A$5:$G$447,7,FALSE),"Not found")</f>
        <v/>
      </c>
    </row>
    <row r="254">
      <c r="A254" t="inlineStr">
        <is>
          <t>TXN100252</t>
        </is>
      </c>
      <c r="B254" t="n">
        <v>340</v>
      </c>
      <c r="C254" t="n">
        <v>26</v>
      </c>
      <c r="D254" s="6" t="n">
        <v>46032.86388888889</v>
      </c>
      <c r="E254" t="n">
        <v>299</v>
      </c>
      <c r="F254" t="inlineStr">
        <is>
          <t>Card</t>
        </is>
      </c>
      <c r="G254" t="inlineStr">
        <is>
          <t>captured</t>
        </is>
      </c>
      <c r="H254" t="n">
        <v>16</v>
      </c>
      <c r="I254">
        <f>IFERROR(VLOOKUP(C254,Merchants!$A$2:$D$41,2,FALSE),"Merchant not found")</f>
        <v/>
      </c>
      <c r="J254">
        <f>IFERROR(VLOOKUP(C254,Merchants!$A$2:$D$41,3,FALSE),"Merchant not found")</f>
        <v/>
      </c>
      <c r="K254">
        <f>IFERROR(VLOOKUP(C254,Merchants!$A$2:$D$41,4,FALSE),"Merchant not found")</f>
        <v/>
      </c>
      <c r="L254" s="4">
        <f>HLOOKUP(F254,Fee_Tiers!$B$2:$E$3,2,FALSE)</f>
        <v/>
      </c>
      <c r="M254">
        <f>E254*L254</f>
        <v/>
      </c>
      <c r="N254" s="5" t="n">
        <v>46032</v>
      </c>
      <c r="O254">
        <f>C254&amp;"_"&amp;TEXT(N254,"yyyy-mm-dd")</f>
        <v/>
      </c>
      <c r="P254">
        <f>IFERROR(VLOOKUP(O254,Merchant_Day_Analysis!$A$5:$G$447,7,FALSE),"Not found")</f>
        <v/>
      </c>
    </row>
    <row r="255">
      <c r="A255" t="inlineStr">
        <is>
          <t>TXN100253</t>
        </is>
      </c>
      <c r="B255" t="n">
        <v>159</v>
      </c>
      <c r="C255" t="n">
        <v>36</v>
      </c>
      <c r="D255" s="6" t="n">
        <v>46042.92013888889</v>
      </c>
      <c r="E255" t="n">
        <v>49</v>
      </c>
      <c r="F255" t="inlineStr">
        <is>
          <t>UPI</t>
        </is>
      </c>
      <c r="G255" t="inlineStr">
        <is>
          <t>captured</t>
        </is>
      </c>
      <c r="H255" t="n">
        <v>48</v>
      </c>
      <c r="I255">
        <f>IFERROR(VLOOKUP(C255,Merchants!$A$2:$D$41,2,FALSE),"Merchant not found")</f>
        <v/>
      </c>
      <c r="J255">
        <f>IFERROR(VLOOKUP(C255,Merchants!$A$2:$D$41,3,FALSE),"Merchant not found")</f>
        <v/>
      </c>
      <c r="K255">
        <f>IFERROR(VLOOKUP(C255,Merchants!$A$2:$D$41,4,FALSE),"Merchant not found")</f>
        <v/>
      </c>
      <c r="L255" s="4">
        <f>HLOOKUP(F255,Fee_Tiers!$B$2:$E$3,2,FALSE)</f>
        <v/>
      </c>
      <c r="M255">
        <f>E255*L255</f>
        <v/>
      </c>
      <c r="N255" s="5" t="n">
        <v>46042</v>
      </c>
      <c r="O255">
        <f>C255&amp;"_"&amp;TEXT(N255,"yyyy-mm-dd")</f>
        <v/>
      </c>
      <c r="P255">
        <f>IFERROR(VLOOKUP(O255,Merchant_Day_Analysis!$A$5:$G$447,7,FALSE),"Not found")</f>
        <v/>
      </c>
    </row>
    <row r="256">
      <c r="A256" t="inlineStr">
        <is>
          <t>TXN100254</t>
        </is>
      </c>
      <c r="B256" t="n">
        <v>66</v>
      </c>
      <c r="C256" t="n">
        <v>34</v>
      </c>
      <c r="D256" s="6" t="n">
        <v>46043.45277777778</v>
      </c>
      <c r="E256" t="n">
        <v>799</v>
      </c>
      <c r="F256" t="inlineStr">
        <is>
          <t>UPI</t>
        </is>
      </c>
      <c r="G256" t="inlineStr">
        <is>
          <t>captured</t>
        </is>
      </c>
      <c r="H256" t="n">
        <v>11</v>
      </c>
      <c r="I256">
        <f>IFERROR(VLOOKUP(C256,Merchants!$A$2:$D$41,2,FALSE),"Merchant not found")</f>
        <v/>
      </c>
      <c r="J256">
        <f>IFERROR(VLOOKUP(C256,Merchants!$A$2:$D$41,3,FALSE),"Merchant not found")</f>
        <v/>
      </c>
      <c r="K256">
        <f>IFERROR(VLOOKUP(C256,Merchants!$A$2:$D$41,4,FALSE),"Merchant not found")</f>
        <v/>
      </c>
      <c r="L256" s="4">
        <f>HLOOKUP(F256,Fee_Tiers!$B$2:$E$3,2,FALSE)</f>
        <v/>
      </c>
      <c r="M256">
        <f>E256*L256</f>
        <v/>
      </c>
      <c r="N256" s="5" t="n">
        <v>46043</v>
      </c>
      <c r="O256">
        <f>C256&amp;"_"&amp;TEXT(N256,"yyyy-mm-dd")</f>
        <v/>
      </c>
      <c r="P256">
        <f>IFERROR(VLOOKUP(O256,Merchant_Day_Analysis!$A$5:$G$447,7,FALSE),"Not found")</f>
        <v/>
      </c>
    </row>
    <row r="257">
      <c r="A257" t="inlineStr">
        <is>
          <t>TXN100255</t>
        </is>
      </c>
      <c r="B257" t="n">
        <v>261</v>
      </c>
      <c r="C257" t="n">
        <v>24</v>
      </c>
      <c r="D257" s="6" t="n">
        <v>46043.89375</v>
      </c>
      <c r="E257" t="n">
        <v>799</v>
      </c>
      <c r="F257" t="inlineStr">
        <is>
          <t>Card</t>
        </is>
      </c>
      <c r="G257" t="inlineStr">
        <is>
          <t>captured</t>
        </is>
      </c>
      <c r="H257" t="n">
        <v>2</v>
      </c>
      <c r="I257">
        <f>IFERROR(VLOOKUP(C257,Merchants!$A$2:$D$41,2,FALSE),"Merchant not found")</f>
        <v/>
      </c>
      <c r="J257">
        <f>IFERROR(VLOOKUP(C257,Merchants!$A$2:$D$41,3,FALSE),"Merchant not found")</f>
        <v/>
      </c>
      <c r="K257">
        <f>IFERROR(VLOOKUP(C257,Merchants!$A$2:$D$41,4,FALSE),"Merchant not found")</f>
        <v/>
      </c>
      <c r="L257" s="4">
        <f>HLOOKUP(F257,Fee_Tiers!$B$2:$E$3,2,FALSE)</f>
        <v/>
      </c>
      <c r="M257">
        <f>E257*L257</f>
        <v/>
      </c>
      <c r="N257" s="5" t="n">
        <v>46043</v>
      </c>
      <c r="O257">
        <f>C257&amp;"_"&amp;TEXT(N257,"yyyy-mm-dd")</f>
        <v/>
      </c>
      <c r="P257">
        <f>IFERROR(VLOOKUP(O257,Merchant_Day_Analysis!$A$5:$G$447,7,FALSE),"Not found")</f>
        <v/>
      </c>
    </row>
    <row r="258">
      <c r="A258" t="inlineStr">
        <is>
          <t>TXN100256</t>
        </is>
      </c>
      <c r="B258" t="n">
        <v>110</v>
      </c>
      <c r="C258" t="n">
        <v>22</v>
      </c>
      <c r="D258" s="6" t="n">
        <v>46034.38263888889</v>
      </c>
      <c r="E258" t="n">
        <v>799</v>
      </c>
      <c r="F258" t="inlineStr">
        <is>
          <t>UPI</t>
        </is>
      </c>
      <c r="G258" t="inlineStr">
        <is>
          <t>captured</t>
        </is>
      </c>
      <c r="H258" t="n">
        <v>98</v>
      </c>
      <c r="I258">
        <f>IFERROR(VLOOKUP(C258,Merchants!$A$2:$D$41,2,FALSE),"Merchant not found")</f>
        <v/>
      </c>
      <c r="J258">
        <f>IFERROR(VLOOKUP(C258,Merchants!$A$2:$D$41,3,FALSE),"Merchant not found")</f>
        <v/>
      </c>
      <c r="K258">
        <f>IFERROR(VLOOKUP(C258,Merchants!$A$2:$D$41,4,FALSE),"Merchant not found")</f>
        <v/>
      </c>
      <c r="L258" s="4">
        <f>HLOOKUP(F258,Fee_Tiers!$B$2:$E$3,2,FALSE)</f>
        <v/>
      </c>
      <c r="M258">
        <f>E258*L258</f>
        <v/>
      </c>
      <c r="N258" s="5" t="n">
        <v>46034</v>
      </c>
      <c r="O258">
        <f>C258&amp;"_"&amp;TEXT(N258,"yyyy-mm-dd")</f>
        <v/>
      </c>
      <c r="P258">
        <f>IFERROR(VLOOKUP(O258,Merchant_Day_Analysis!$A$5:$G$447,7,FALSE),"Not found")</f>
        <v/>
      </c>
    </row>
    <row r="259">
      <c r="A259" t="inlineStr">
        <is>
          <t>TXN100257</t>
        </is>
      </c>
      <c r="B259" t="n">
        <v>71</v>
      </c>
      <c r="C259" t="n">
        <v>10</v>
      </c>
      <c r="D259" s="6" t="n">
        <v>46038.25972222222</v>
      </c>
      <c r="E259" t="n">
        <v>49</v>
      </c>
      <c r="F259" t="inlineStr">
        <is>
          <t>UPI</t>
        </is>
      </c>
      <c r="G259" t="inlineStr">
        <is>
          <t>captured</t>
        </is>
      </c>
      <c r="H259" t="n">
        <v>9</v>
      </c>
      <c r="I259">
        <f>IFERROR(VLOOKUP(C259,Merchants!$A$2:$D$41,2,FALSE),"Merchant not found")</f>
        <v/>
      </c>
      <c r="J259">
        <f>IFERROR(VLOOKUP(C259,Merchants!$A$2:$D$41,3,FALSE),"Merchant not found")</f>
        <v/>
      </c>
      <c r="K259">
        <f>IFERROR(VLOOKUP(C259,Merchants!$A$2:$D$41,4,FALSE),"Merchant not found")</f>
        <v/>
      </c>
      <c r="L259" s="4">
        <f>HLOOKUP(F259,Fee_Tiers!$B$2:$E$3,2,FALSE)</f>
        <v/>
      </c>
      <c r="M259">
        <f>E259*L259</f>
        <v/>
      </c>
      <c r="N259" s="5" t="n">
        <v>46038</v>
      </c>
      <c r="O259">
        <f>C259&amp;"_"&amp;TEXT(N259,"yyyy-mm-dd")</f>
        <v/>
      </c>
      <c r="P259">
        <f>IFERROR(VLOOKUP(O259,Merchant_Day_Analysis!$A$5:$G$447,7,FALSE),"Not found")</f>
        <v/>
      </c>
    </row>
    <row r="260">
      <c r="A260" t="inlineStr">
        <is>
          <t>TXN100258</t>
        </is>
      </c>
      <c r="B260" t="n">
        <v>277</v>
      </c>
      <c r="C260" t="n">
        <v>34</v>
      </c>
      <c r="D260" s="6" t="n">
        <v>46032.14722222222</v>
      </c>
      <c r="E260" t="n">
        <v>49</v>
      </c>
      <c r="F260" t="inlineStr">
        <is>
          <t>UPI</t>
        </is>
      </c>
      <c r="G260" t="inlineStr">
        <is>
          <t>captured</t>
        </is>
      </c>
      <c r="H260" t="n">
        <v>4</v>
      </c>
      <c r="I260">
        <f>IFERROR(VLOOKUP(C260,Merchants!$A$2:$D$41,2,FALSE),"Merchant not found")</f>
        <v/>
      </c>
      <c r="J260">
        <f>IFERROR(VLOOKUP(C260,Merchants!$A$2:$D$41,3,FALSE),"Merchant not found")</f>
        <v/>
      </c>
      <c r="K260">
        <f>IFERROR(VLOOKUP(C260,Merchants!$A$2:$D$41,4,FALSE),"Merchant not found")</f>
        <v/>
      </c>
      <c r="L260" s="4">
        <f>HLOOKUP(F260,Fee_Tiers!$B$2:$E$3,2,FALSE)</f>
        <v/>
      </c>
      <c r="M260">
        <f>E260*L260</f>
        <v/>
      </c>
      <c r="N260" s="5" t="n">
        <v>46032</v>
      </c>
      <c r="O260">
        <f>C260&amp;"_"&amp;TEXT(N260,"yyyy-mm-dd")</f>
        <v/>
      </c>
      <c r="P260">
        <f>IFERROR(VLOOKUP(O260,Merchant_Day_Analysis!$A$5:$G$447,7,FALSE),"Not found")</f>
        <v/>
      </c>
    </row>
    <row r="261">
      <c r="A261" t="inlineStr">
        <is>
          <t>TXN100259</t>
        </is>
      </c>
      <c r="B261" t="n">
        <v>317</v>
      </c>
      <c r="C261" t="n">
        <v>9</v>
      </c>
      <c r="D261" s="6" t="n">
        <v>46044.45555555556</v>
      </c>
      <c r="E261" t="n">
        <v>499</v>
      </c>
      <c r="F261" t="inlineStr">
        <is>
          <t>Wallet</t>
        </is>
      </c>
      <c r="G261" t="inlineStr">
        <is>
          <t>captured</t>
        </is>
      </c>
      <c r="H261" t="n">
        <v>76</v>
      </c>
      <c r="I261">
        <f>IFERROR(VLOOKUP(C261,Merchants!$A$2:$D$41,2,FALSE),"Merchant not found")</f>
        <v/>
      </c>
      <c r="J261">
        <f>IFERROR(VLOOKUP(C261,Merchants!$A$2:$D$41,3,FALSE),"Merchant not found")</f>
        <v/>
      </c>
      <c r="K261">
        <f>IFERROR(VLOOKUP(C261,Merchants!$A$2:$D$41,4,FALSE),"Merchant not found")</f>
        <v/>
      </c>
      <c r="L261" s="4">
        <f>HLOOKUP(F261,Fee_Tiers!$B$2:$E$3,2,FALSE)</f>
        <v/>
      </c>
      <c r="M261">
        <f>E261*L261</f>
        <v/>
      </c>
      <c r="N261" s="5" t="n">
        <v>46044</v>
      </c>
      <c r="O261">
        <f>C261&amp;"_"&amp;TEXT(N261,"yyyy-mm-dd")</f>
        <v/>
      </c>
      <c r="P261">
        <f>IFERROR(VLOOKUP(O261,Merchant_Day_Analysis!$A$5:$G$447,7,FALSE),"Not found")</f>
        <v/>
      </c>
    </row>
    <row r="262">
      <c r="A262" t="inlineStr">
        <is>
          <t>TXN100260</t>
        </is>
      </c>
      <c r="B262" t="n">
        <v>93</v>
      </c>
      <c r="C262" t="n">
        <v>40</v>
      </c>
      <c r="D262" s="6" t="n">
        <v>46035.17361111111</v>
      </c>
      <c r="E262" t="n">
        <v>299</v>
      </c>
      <c r="F262" t="inlineStr">
        <is>
          <t>UPI</t>
        </is>
      </c>
      <c r="G262" t="inlineStr">
        <is>
          <t>captured</t>
        </is>
      </c>
      <c r="H262" t="n">
        <v>21</v>
      </c>
      <c r="I262">
        <f>IFERROR(VLOOKUP(C262,Merchants!$A$2:$D$41,2,FALSE),"Merchant not found")</f>
        <v/>
      </c>
      <c r="J262">
        <f>IFERROR(VLOOKUP(C262,Merchants!$A$2:$D$41,3,FALSE),"Merchant not found")</f>
        <v/>
      </c>
      <c r="K262">
        <f>IFERROR(VLOOKUP(C262,Merchants!$A$2:$D$41,4,FALSE),"Merchant not found")</f>
        <v/>
      </c>
      <c r="L262" s="4">
        <f>HLOOKUP(F262,Fee_Tiers!$B$2:$E$3,2,FALSE)</f>
        <v/>
      </c>
      <c r="M262">
        <f>E262*L262</f>
        <v/>
      </c>
      <c r="N262" s="5" t="n">
        <v>46035</v>
      </c>
      <c r="O262">
        <f>C262&amp;"_"&amp;TEXT(N262,"yyyy-mm-dd")</f>
        <v/>
      </c>
      <c r="P262">
        <f>IFERROR(VLOOKUP(O262,Merchant_Day_Analysis!$A$5:$G$447,7,FALSE),"Not found")</f>
        <v/>
      </c>
    </row>
    <row r="263">
      <c r="A263" t="inlineStr">
        <is>
          <t>TXN100261</t>
        </is>
      </c>
      <c r="B263" t="n">
        <v>211</v>
      </c>
      <c r="C263" t="n">
        <v>24</v>
      </c>
      <c r="D263" s="6" t="n">
        <v>46046.58472222222</v>
      </c>
      <c r="E263" t="n">
        <v>99</v>
      </c>
      <c r="F263" t="inlineStr">
        <is>
          <t>Netbanking</t>
        </is>
      </c>
      <c r="G263" t="inlineStr">
        <is>
          <t>captured</t>
        </is>
      </c>
      <c r="H263" t="n">
        <v>86</v>
      </c>
      <c r="I263">
        <f>IFERROR(VLOOKUP(C263,Merchants!$A$2:$D$41,2,FALSE),"Merchant not found")</f>
        <v/>
      </c>
      <c r="J263">
        <f>IFERROR(VLOOKUP(C263,Merchants!$A$2:$D$41,3,FALSE),"Merchant not found")</f>
        <v/>
      </c>
      <c r="K263">
        <f>IFERROR(VLOOKUP(C263,Merchants!$A$2:$D$41,4,FALSE),"Merchant not found")</f>
        <v/>
      </c>
      <c r="L263" s="4">
        <f>HLOOKUP(F263,Fee_Tiers!$B$2:$E$3,2,FALSE)</f>
        <v/>
      </c>
      <c r="M263">
        <f>E263*L263</f>
        <v/>
      </c>
      <c r="N263" s="5" t="n">
        <v>46046</v>
      </c>
      <c r="O263">
        <f>C263&amp;"_"&amp;TEXT(N263,"yyyy-mm-dd")</f>
        <v/>
      </c>
      <c r="P263">
        <f>IFERROR(VLOOKUP(O263,Merchant_Day_Analysis!$A$5:$G$447,7,FALSE),"Not found")</f>
        <v/>
      </c>
    </row>
    <row r="264">
      <c r="A264" t="inlineStr">
        <is>
          <t>TXN100262</t>
        </is>
      </c>
      <c r="B264" t="n">
        <v>313</v>
      </c>
      <c r="C264" t="n">
        <v>19</v>
      </c>
      <c r="D264" s="6" t="n">
        <v>46046.31111111111</v>
      </c>
      <c r="E264" t="n">
        <v>149</v>
      </c>
      <c r="F264" t="inlineStr">
        <is>
          <t>UPI</t>
        </is>
      </c>
      <c r="G264" t="inlineStr">
        <is>
          <t>captured</t>
        </is>
      </c>
      <c r="H264" t="n">
        <v>96</v>
      </c>
      <c r="I264">
        <f>IFERROR(VLOOKUP(C264,Merchants!$A$2:$D$41,2,FALSE),"Merchant not found")</f>
        <v/>
      </c>
      <c r="J264">
        <f>IFERROR(VLOOKUP(C264,Merchants!$A$2:$D$41,3,FALSE),"Merchant not found")</f>
        <v/>
      </c>
      <c r="K264">
        <f>IFERROR(VLOOKUP(C264,Merchants!$A$2:$D$41,4,FALSE),"Merchant not found")</f>
        <v/>
      </c>
      <c r="L264" s="4">
        <f>HLOOKUP(F264,Fee_Tiers!$B$2:$E$3,2,FALSE)</f>
        <v/>
      </c>
      <c r="M264">
        <f>E264*L264</f>
        <v/>
      </c>
      <c r="N264" s="5" t="n">
        <v>46046</v>
      </c>
      <c r="O264">
        <f>C264&amp;"_"&amp;TEXT(N264,"yyyy-mm-dd")</f>
        <v/>
      </c>
      <c r="P264">
        <f>IFERROR(VLOOKUP(O264,Merchant_Day_Analysis!$A$5:$G$447,7,FALSE),"Not found")</f>
        <v/>
      </c>
    </row>
    <row r="265">
      <c r="A265" t="inlineStr">
        <is>
          <t>TXN100263</t>
        </is>
      </c>
      <c r="B265" t="n">
        <v>274</v>
      </c>
      <c r="C265" t="n">
        <v>16</v>
      </c>
      <c r="D265" s="6" t="n">
        <v>46046.59305555555</v>
      </c>
      <c r="E265" t="n">
        <v>49</v>
      </c>
      <c r="F265" t="inlineStr">
        <is>
          <t>Wallet</t>
        </is>
      </c>
      <c r="G265" t="inlineStr">
        <is>
          <t>failed</t>
        </is>
      </c>
      <c r="H265" t="n">
        <v>39</v>
      </c>
      <c r="I265">
        <f>IFERROR(VLOOKUP(C265,Merchants!$A$2:$D$41,2,FALSE),"Merchant not found")</f>
        <v/>
      </c>
      <c r="J265">
        <f>IFERROR(VLOOKUP(C265,Merchants!$A$2:$D$41,3,FALSE),"Merchant not found")</f>
        <v/>
      </c>
      <c r="K265">
        <f>IFERROR(VLOOKUP(C265,Merchants!$A$2:$D$41,4,FALSE),"Merchant not found")</f>
        <v/>
      </c>
      <c r="L265" s="4">
        <f>HLOOKUP(F265,Fee_Tiers!$B$2:$E$3,2,FALSE)</f>
        <v/>
      </c>
      <c r="M265">
        <f>E265*L265</f>
        <v/>
      </c>
      <c r="N265" s="5" t="n">
        <v>46046</v>
      </c>
      <c r="O265">
        <f>C265&amp;"_"&amp;TEXT(N265,"yyyy-mm-dd")</f>
        <v/>
      </c>
      <c r="P265">
        <f>IFERROR(VLOOKUP(O265,Merchant_Day_Analysis!$A$5:$G$447,7,FALSE),"Not found")</f>
        <v/>
      </c>
    </row>
    <row r="266">
      <c r="A266" t="inlineStr">
        <is>
          <t>TXN100264</t>
        </is>
      </c>
      <c r="B266" t="n">
        <v>100</v>
      </c>
      <c r="C266" t="n">
        <v>24</v>
      </c>
      <c r="D266" s="6" t="n">
        <v>46048.66458333333</v>
      </c>
      <c r="E266" t="n">
        <v>299</v>
      </c>
      <c r="F266" t="inlineStr">
        <is>
          <t>UPI</t>
        </is>
      </c>
      <c r="G266" t="inlineStr">
        <is>
          <t>captured</t>
        </is>
      </c>
      <c r="H266" t="n">
        <v>86</v>
      </c>
      <c r="I266">
        <f>IFERROR(VLOOKUP(C266,Merchants!$A$2:$D$41,2,FALSE),"Merchant not found")</f>
        <v/>
      </c>
      <c r="J266">
        <f>IFERROR(VLOOKUP(C266,Merchants!$A$2:$D$41,3,FALSE),"Merchant not found")</f>
        <v/>
      </c>
      <c r="K266">
        <f>IFERROR(VLOOKUP(C266,Merchants!$A$2:$D$41,4,FALSE),"Merchant not found")</f>
        <v/>
      </c>
      <c r="L266" s="4">
        <f>HLOOKUP(F266,Fee_Tiers!$B$2:$E$3,2,FALSE)</f>
        <v/>
      </c>
      <c r="M266">
        <f>E266*L266</f>
        <v/>
      </c>
      <c r="N266" s="5" t="n">
        <v>46048</v>
      </c>
      <c r="O266">
        <f>C266&amp;"_"&amp;TEXT(N266,"yyyy-mm-dd")</f>
        <v/>
      </c>
      <c r="P266">
        <f>IFERROR(VLOOKUP(O266,Merchant_Day_Analysis!$A$5:$G$447,7,FALSE),"Not found")</f>
        <v/>
      </c>
    </row>
    <row r="267">
      <c r="A267" t="inlineStr">
        <is>
          <t>TXN100265</t>
        </is>
      </c>
      <c r="B267" t="n">
        <v>145</v>
      </c>
      <c r="C267" t="n">
        <v>25</v>
      </c>
      <c r="D267" s="6" t="n">
        <v>46041.60347222222</v>
      </c>
      <c r="E267" t="n">
        <v>2999</v>
      </c>
      <c r="F267" t="inlineStr">
        <is>
          <t>Wallet</t>
        </is>
      </c>
      <c r="G267" t="inlineStr">
        <is>
          <t>captured</t>
        </is>
      </c>
      <c r="H267" t="n">
        <v>64</v>
      </c>
      <c r="I267">
        <f>IFERROR(VLOOKUP(C267,Merchants!$A$2:$D$41,2,FALSE),"Merchant not found")</f>
        <v/>
      </c>
      <c r="J267">
        <f>IFERROR(VLOOKUP(C267,Merchants!$A$2:$D$41,3,FALSE),"Merchant not found")</f>
        <v/>
      </c>
      <c r="K267">
        <f>IFERROR(VLOOKUP(C267,Merchants!$A$2:$D$41,4,FALSE),"Merchant not found")</f>
        <v/>
      </c>
      <c r="L267" s="4">
        <f>HLOOKUP(F267,Fee_Tiers!$B$2:$E$3,2,FALSE)</f>
        <v/>
      </c>
      <c r="M267">
        <f>E267*L267</f>
        <v/>
      </c>
      <c r="N267" s="5" t="n">
        <v>46041</v>
      </c>
      <c r="O267">
        <f>C267&amp;"_"&amp;TEXT(N267,"yyyy-mm-dd")</f>
        <v/>
      </c>
      <c r="P267">
        <f>IFERROR(VLOOKUP(O267,Merchant_Day_Analysis!$A$5:$G$447,7,FALSE),"Not found")</f>
        <v/>
      </c>
    </row>
    <row r="268">
      <c r="A268" t="inlineStr">
        <is>
          <t>TXN100266</t>
        </is>
      </c>
      <c r="B268" t="n">
        <v>103</v>
      </c>
      <c r="C268" t="n">
        <v>39</v>
      </c>
      <c r="D268" s="6" t="n">
        <v>46039.54861111111</v>
      </c>
      <c r="E268" t="n">
        <v>2999</v>
      </c>
      <c r="F268" t="inlineStr">
        <is>
          <t>Wallet</t>
        </is>
      </c>
      <c r="G268" t="inlineStr">
        <is>
          <t>captured</t>
        </is>
      </c>
      <c r="H268" t="n">
        <v>17</v>
      </c>
      <c r="I268">
        <f>IFERROR(VLOOKUP(C268,Merchants!$A$2:$D$41,2,FALSE),"Merchant not found")</f>
        <v/>
      </c>
      <c r="J268">
        <f>IFERROR(VLOOKUP(C268,Merchants!$A$2:$D$41,3,FALSE),"Merchant not found")</f>
        <v/>
      </c>
      <c r="K268">
        <f>IFERROR(VLOOKUP(C268,Merchants!$A$2:$D$41,4,FALSE),"Merchant not found")</f>
        <v/>
      </c>
      <c r="L268" s="4">
        <f>HLOOKUP(F268,Fee_Tiers!$B$2:$E$3,2,FALSE)</f>
        <v/>
      </c>
      <c r="M268">
        <f>E268*L268</f>
        <v/>
      </c>
      <c r="N268" s="5" t="n">
        <v>46039</v>
      </c>
      <c r="O268">
        <f>C268&amp;"_"&amp;TEXT(N268,"yyyy-mm-dd")</f>
        <v/>
      </c>
      <c r="P268">
        <f>IFERROR(VLOOKUP(O268,Merchant_Day_Analysis!$A$5:$G$447,7,FALSE),"Not found")</f>
        <v/>
      </c>
    </row>
    <row r="269">
      <c r="A269" t="inlineStr">
        <is>
          <t>TXN100267</t>
        </is>
      </c>
      <c r="B269" t="n">
        <v>329</v>
      </c>
      <c r="C269" t="n">
        <v>31</v>
      </c>
      <c r="D269" s="6" t="n">
        <v>46050.33541666667</v>
      </c>
      <c r="E269" t="n">
        <v>299</v>
      </c>
      <c r="F269" t="inlineStr">
        <is>
          <t>Wallet</t>
        </is>
      </c>
      <c r="G269" t="inlineStr">
        <is>
          <t>captured</t>
        </is>
      </c>
      <c r="H269" t="n">
        <v>47</v>
      </c>
      <c r="I269">
        <f>IFERROR(VLOOKUP(C269,Merchants!$A$2:$D$41,2,FALSE),"Merchant not found")</f>
        <v/>
      </c>
      <c r="J269">
        <f>IFERROR(VLOOKUP(C269,Merchants!$A$2:$D$41,3,FALSE),"Merchant not found")</f>
        <v/>
      </c>
      <c r="K269">
        <f>IFERROR(VLOOKUP(C269,Merchants!$A$2:$D$41,4,FALSE),"Merchant not found")</f>
        <v/>
      </c>
      <c r="L269" s="4">
        <f>HLOOKUP(F269,Fee_Tiers!$B$2:$E$3,2,FALSE)</f>
        <v/>
      </c>
      <c r="M269">
        <f>E269*L269</f>
        <v/>
      </c>
      <c r="N269" s="5" t="n">
        <v>46050</v>
      </c>
      <c r="O269">
        <f>C269&amp;"_"&amp;TEXT(N269,"yyyy-mm-dd")</f>
        <v/>
      </c>
      <c r="P269">
        <f>IFERROR(VLOOKUP(O269,Merchant_Day_Analysis!$A$5:$G$447,7,FALSE),"Not found")</f>
        <v/>
      </c>
    </row>
    <row r="270">
      <c r="A270" t="inlineStr">
        <is>
          <t>TXN100268</t>
        </is>
      </c>
      <c r="B270" t="n">
        <v>265</v>
      </c>
      <c r="C270" t="n">
        <v>8</v>
      </c>
      <c r="D270" s="6" t="n">
        <v>46040.15625</v>
      </c>
      <c r="E270" t="n">
        <v>499</v>
      </c>
      <c r="F270" t="inlineStr">
        <is>
          <t>Netbanking</t>
        </is>
      </c>
      <c r="G270" t="inlineStr">
        <is>
          <t>captured</t>
        </is>
      </c>
      <c r="H270" t="n">
        <v>36</v>
      </c>
      <c r="I270">
        <f>IFERROR(VLOOKUP(C270,Merchants!$A$2:$D$41,2,FALSE),"Merchant not found")</f>
        <v/>
      </c>
      <c r="J270">
        <f>IFERROR(VLOOKUP(C270,Merchants!$A$2:$D$41,3,FALSE),"Merchant not found")</f>
        <v/>
      </c>
      <c r="K270">
        <f>IFERROR(VLOOKUP(C270,Merchants!$A$2:$D$41,4,FALSE),"Merchant not found")</f>
        <v/>
      </c>
      <c r="L270" s="4">
        <f>HLOOKUP(F270,Fee_Tiers!$B$2:$E$3,2,FALSE)</f>
        <v/>
      </c>
      <c r="M270">
        <f>E270*L270</f>
        <v/>
      </c>
      <c r="N270" s="5" t="n">
        <v>46040</v>
      </c>
      <c r="O270">
        <f>C270&amp;"_"&amp;TEXT(N270,"yyyy-mm-dd")</f>
        <v/>
      </c>
      <c r="P270">
        <f>IFERROR(VLOOKUP(O270,Merchant_Day_Analysis!$A$5:$G$447,7,FALSE),"Not found")</f>
        <v/>
      </c>
    </row>
    <row r="271">
      <c r="A271" t="inlineStr">
        <is>
          <t>TXN100269</t>
        </is>
      </c>
      <c r="B271" t="n">
        <v>231</v>
      </c>
      <c r="C271" t="n">
        <v>33</v>
      </c>
      <c r="D271" s="6" t="n">
        <v>46025.22013888889</v>
      </c>
      <c r="E271" t="n">
        <v>149</v>
      </c>
      <c r="F271" t="inlineStr">
        <is>
          <t>UPI</t>
        </is>
      </c>
      <c r="G271" t="inlineStr">
        <is>
          <t>failed</t>
        </is>
      </c>
      <c r="H271" t="n">
        <v>18</v>
      </c>
      <c r="I271">
        <f>IFERROR(VLOOKUP(C271,Merchants!$A$2:$D$41,2,FALSE),"Merchant not found")</f>
        <v/>
      </c>
      <c r="J271">
        <f>IFERROR(VLOOKUP(C271,Merchants!$A$2:$D$41,3,FALSE),"Merchant not found")</f>
        <v/>
      </c>
      <c r="K271">
        <f>IFERROR(VLOOKUP(C271,Merchants!$A$2:$D$41,4,FALSE),"Merchant not found")</f>
        <v/>
      </c>
      <c r="L271" s="4">
        <f>HLOOKUP(F271,Fee_Tiers!$B$2:$E$3,2,FALSE)</f>
        <v/>
      </c>
      <c r="M271">
        <f>E271*L271</f>
        <v/>
      </c>
      <c r="N271" s="5" t="n">
        <v>46025</v>
      </c>
      <c r="O271">
        <f>C271&amp;"_"&amp;TEXT(N271,"yyyy-mm-dd")</f>
        <v/>
      </c>
      <c r="P271">
        <f>IFERROR(VLOOKUP(O271,Merchant_Day_Analysis!$A$5:$G$447,7,FALSE),"Not found")</f>
        <v/>
      </c>
    </row>
    <row r="272">
      <c r="A272" t="inlineStr">
        <is>
          <t>TXN100270</t>
        </is>
      </c>
      <c r="B272" t="n">
        <v>114</v>
      </c>
      <c r="C272" t="n">
        <v>29</v>
      </c>
      <c r="D272" s="6" t="n">
        <v>46049.54513888889</v>
      </c>
      <c r="E272" t="n">
        <v>799</v>
      </c>
      <c r="F272" t="inlineStr">
        <is>
          <t>UPI</t>
        </is>
      </c>
      <c r="G272" t="inlineStr">
        <is>
          <t>chargeback</t>
        </is>
      </c>
      <c r="H272" t="n">
        <v>44</v>
      </c>
      <c r="I272">
        <f>IFERROR(VLOOKUP(C272,Merchants!$A$2:$D$41,2,FALSE),"Merchant not found")</f>
        <v/>
      </c>
      <c r="J272">
        <f>IFERROR(VLOOKUP(C272,Merchants!$A$2:$D$41,3,FALSE),"Merchant not found")</f>
        <v/>
      </c>
      <c r="K272">
        <f>IFERROR(VLOOKUP(C272,Merchants!$A$2:$D$41,4,FALSE),"Merchant not found")</f>
        <v/>
      </c>
      <c r="L272" s="4">
        <f>HLOOKUP(F272,Fee_Tiers!$B$2:$E$3,2,FALSE)</f>
        <v/>
      </c>
      <c r="M272">
        <f>E272*L272</f>
        <v/>
      </c>
      <c r="N272" s="5" t="n">
        <v>46049</v>
      </c>
      <c r="O272">
        <f>C272&amp;"_"&amp;TEXT(N272,"yyyy-mm-dd")</f>
        <v/>
      </c>
      <c r="P272">
        <f>IFERROR(VLOOKUP(O272,Merchant_Day_Analysis!$A$5:$G$447,7,FALSE),"Not found")</f>
        <v/>
      </c>
    </row>
    <row r="273">
      <c r="A273" t="inlineStr">
        <is>
          <t>TXN100271</t>
        </is>
      </c>
      <c r="B273" t="n">
        <v>28</v>
      </c>
      <c r="C273" t="n">
        <v>26</v>
      </c>
      <c r="D273" s="6" t="n">
        <v>46052.01805555556</v>
      </c>
      <c r="E273" t="n">
        <v>1499</v>
      </c>
      <c r="F273" t="inlineStr">
        <is>
          <t>UPI</t>
        </is>
      </c>
      <c r="G273" t="inlineStr">
        <is>
          <t>failed</t>
        </is>
      </c>
      <c r="H273" t="n">
        <v>64</v>
      </c>
      <c r="I273">
        <f>IFERROR(VLOOKUP(C273,Merchants!$A$2:$D$41,2,FALSE),"Merchant not found")</f>
        <v/>
      </c>
      <c r="J273">
        <f>IFERROR(VLOOKUP(C273,Merchants!$A$2:$D$41,3,FALSE),"Merchant not found")</f>
        <v/>
      </c>
      <c r="K273">
        <f>IFERROR(VLOOKUP(C273,Merchants!$A$2:$D$41,4,FALSE),"Merchant not found")</f>
        <v/>
      </c>
      <c r="L273" s="4">
        <f>HLOOKUP(F273,Fee_Tiers!$B$2:$E$3,2,FALSE)</f>
        <v/>
      </c>
      <c r="M273">
        <f>E273*L273</f>
        <v/>
      </c>
      <c r="N273" s="5" t="n">
        <v>46052</v>
      </c>
      <c r="O273">
        <f>C273&amp;"_"&amp;TEXT(N273,"yyyy-mm-dd")</f>
        <v/>
      </c>
      <c r="P273">
        <f>IFERROR(VLOOKUP(O273,Merchant_Day_Analysis!$A$5:$G$447,7,FALSE),"Not found")</f>
        <v/>
      </c>
    </row>
    <row r="274">
      <c r="A274" t="inlineStr">
        <is>
          <t>TXN100272</t>
        </is>
      </c>
      <c r="B274" t="n">
        <v>42</v>
      </c>
      <c r="C274" t="n">
        <v>24</v>
      </c>
      <c r="D274" s="6" t="n">
        <v>46034.30833333333</v>
      </c>
      <c r="E274" t="n">
        <v>149</v>
      </c>
      <c r="F274" t="inlineStr">
        <is>
          <t>UPI</t>
        </is>
      </c>
      <c r="G274" t="inlineStr">
        <is>
          <t>captured</t>
        </is>
      </c>
      <c r="H274" t="n">
        <v>28</v>
      </c>
      <c r="I274">
        <f>IFERROR(VLOOKUP(C274,Merchants!$A$2:$D$41,2,FALSE),"Merchant not found")</f>
        <v/>
      </c>
      <c r="J274">
        <f>IFERROR(VLOOKUP(C274,Merchants!$A$2:$D$41,3,FALSE),"Merchant not found")</f>
        <v/>
      </c>
      <c r="K274">
        <f>IFERROR(VLOOKUP(C274,Merchants!$A$2:$D$41,4,FALSE),"Merchant not found")</f>
        <v/>
      </c>
      <c r="L274" s="4">
        <f>HLOOKUP(F274,Fee_Tiers!$B$2:$E$3,2,FALSE)</f>
        <v/>
      </c>
      <c r="M274">
        <f>E274*L274</f>
        <v/>
      </c>
      <c r="N274" s="5" t="n">
        <v>46034</v>
      </c>
      <c r="O274">
        <f>C274&amp;"_"&amp;TEXT(N274,"yyyy-mm-dd")</f>
        <v/>
      </c>
      <c r="P274">
        <f>IFERROR(VLOOKUP(O274,Merchant_Day_Analysis!$A$5:$G$447,7,FALSE),"Not found")</f>
        <v/>
      </c>
    </row>
    <row r="275">
      <c r="A275" t="inlineStr">
        <is>
          <t>TXN100273</t>
        </is>
      </c>
      <c r="B275" t="n">
        <v>51</v>
      </c>
      <c r="C275" t="n">
        <v>22</v>
      </c>
      <c r="D275" s="6" t="n">
        <v>46023.45763888889</v>
      </c>
      <c r="E275" t="n">
        <v>799</v>
      </c>
      <c r="F275" t="inlineStr">
        <is>
          <t>UPI</t>
        </is>
      </c>
      <c r="G275" t="inlineStr">
        <is>
          <t>captured</t>
        </is>
      </c>
      <c r="H275" t="n">
        <v>18</v>
      </c>
      <c r="I275">
        <f>IFERROR(VLOOKUP(C275,Merchants!$A$2:$D$41,2,FALSE),"Merchant not found")</f>
        <v/>
      </c>
      <c r="J275">
        <f>IFERROR(VLOOKUP(C275,Merchants!$A$2:$D$41,3,FALSE),"Merchant not found")</f>
        <v/>
      </c>
      <c r="K275">
        <f>IFERROR(VLOOKUP(C275,Merchants!$A$2:$D$41,4,FALSE),"Merchant not found")</f>
        <v/>
      </c>
      <c r="L275" s="4">
        <f>HLOOKUP(F275,Fee_Tiers!$B$2:$E$3,2,FALSE)</f>
        <v/>
      </c>
      <c r="M275">
        <f>E275*L275</f>
        <v/>
      </c>
      <c r="N275" s="5" t="n">
        <v>46023</v>
      </c>
      <c r="O275">
        <f>C275&amp;"_"&amp;TEXT(N275,"yyyy-mm-dd")</f>
        <v/>
      </c>
      <c r="P275">
        <f>IFERROR(VLOOKUP(O275,Merchant_Day_Analysis!$A$5:$G$447,7,FALSE),"Not found")</f>
        <v/>
      </c>
    </row>
    <row r="276">
      <c r="A276" t="inlineStr">
        <is>
          <t>TXN100274</t>
        </is>
      </c>
      <c r="B276" t="n">
        <v>242</v>
      </c>
      <c r="C276" t="n">
        <v>9</v>
      </c>
      <c r="D276" s="6" t="n">
        <v>46027.05416666667</v>
      </c>
      <c r="E276" t="n">
        <v>149</v>
      </c>
      <c r="F276" t="inlineStr">
        <is>
          <t>UPI</t>
        </is>
      </c>
      <c r="G276" t="inlineStr">
        <is>
          <t>captured</t>
        </is>
      </c>
      <c r="H276" t="n">
        <v>97</v>
      </c>
      <c r="I276">
        <f>IFERROR(VLOOKUP(C276,Merchants!$A$2:$D$41,2,FALSE),"Merchant not found")</f>
        <v/>
      </c>
      <c r="J276">
        <f>IFERROR(VLOOKUP(C276,Merchants!$A$2:$D$41,3,FALSE),"Merchant not found")</f>
        <v/>
      </c>
      <c r="K276">
        <f>IFERROR(VLOOKUP(C276,Merchants!$A$2:$D$41,4,FALSE),"Merchant not found")</f>
        <v/>
      </c>
      <c r="L276" s="4">
        <f>HLOOKUP(F276,Fee_Tiers!$B$2:$E$3,2,FALSE)</f>
        <v/>
      </c>
      <c r="M276">
        <f>E276*L276</f>
        <v/>
      </c>
      <c r="N276" s="5" t="n">
        <v>46027</v>
      </c>
      <c r="O276">
        <f>C276&amp;"_"&amp;TEXT(N276,"yyyy-mm-dd")</f>
        <v/>
      </c>
      <c r="P276">
        <f>IFERROR(VLOOKUP(O276,Merchant_Day_Analysis!$A$5:$G$447,7,FALSE),"Not found")</f>
        <v/>
      </c>
    </row>
    <row r="277">
      <c r="A277" t="inlineStr">
        <is>
          <t>TXN100275</t>
        </is>
      </c>
      <c r="B277" t="n">
        <v>316</v>
      </c>
      <c r="C277" t="n">
        <v>1</v>
      </c>
      <c r="D277" s="6" t="n">
        <v>46045.64444444444</v>
      </c>
      <c r="E277" t="n">
        <v>149</v>
      </c>
      <c r="F277" t="inlineStr">
        <is>
          <t>UPI</t>
        </is>
      </c>
      <c r="G277" t="inlineStr">
        <is>
          <t>captured</t>
        </is>
      </c>
      <c r="H277" t="n">
        <v>10</v>
      </c>
      <c r="I277">
        <f>IFERROR(VLOOKUP(C277,Merchants!$A$2:$D$41,2,FALSE),"Merchant not found")</f>
        <v/>
      </c>
      <c r="J277">
        <f>IFERROR(VLOOKUP(C277,Merchants!$A$2:$D$41,3,FALSE),"Merchant not found")</f>
        <v/>
      </c>
      <c r="K277">
        <f>IFERROR(VLOOKUP(C277,Merchants!$A$2:$D$41,4,FALSE),"Merchant not found")</f>
        <v/>
      </c>
      <c r="L277" s="4">
        <f>HLOOKUP(F277,Fee_Tiers!$B$2:$E$3,2,FALSE)</f>
        <v/>
      </c>
      <c r="M277">
        <f>E277*L277</f>
        <v/>
      </c>
      <c r="N277" s="5" t="n">
        <v>46045</v>
      </c>
      <c r="O277">
        <f>C277&amp;"_"&amp;TEXT(N277,"yyyy-mm-dd")</f>
        <v/>
      </c>
      <c r="P277">
        <f>IFERROR(VLOOKUP(O277,Merchant_Day_Analysis!$A$5:$G$447,7,FALSE),"Not found")</f>
        <v/>
      </c>
    </row>
    <row r="278">
      <c r="A278" t="inlineStr">
        <is>
          <t>TXN100276</t>
        </is>
      </c>
      <c r="B278" t="n">
        <v>77</v>
      </c>
      <c r="C278" t="n">
        <v>36</v>
      </c>
      <c r="D278" s="6" t="n">
        <v>46023.34236111111</v>
      </c>
      <c r="E278" t="n">
        <v>149</v>
      </c>
      <c r="F278" t="inlineStr">
        <is>
          <t>UPI</t>
        </is>
      </c>
      <c r="G278" t="inlineStr">
        <is>
          <t>captured</t>
        </is>
      </c>
      <c r="H278" t="n">
        <v>93</v>
      </c>
      <c r="I278">
        <f>IFERROR(VLOOKUP(C278,Merchants!$A$2:$D$41,2,FALSE),"Merchant not found")</f>
        <v/>
      </c>
      <c r="J278">
        <f>IFERROR(VLOOKUP(C278,Merchants!$A$2:$D$41,3,FALSE),"Merchant not found")</f>
        <v/>
      </c>
      <c r="K278">
        <f>IFERROR(VLOOKUP(C278,Merchants!$A$2:$D$41,4,FALSE),"Merchant not found")</f>
        <v/>
      </c>
      <c r="L278" s="4">
        <f>HLOOKUP(F278,Fee_Tiers!$B$2:$E$3,2,FALSE)</f>
        <v/>
      </c>
      <c r="M278">
        <f>E278*L278</f>
        <v/>
      </c>
      <c r="N278" s="5" t="n">
        <v>46023</v>
      </c>
      <c r="O278">
        <f>C278&amp;"_"&amp;TEXT(N278,"yyyy-mm-dd")</f>
        <v/>
      </c>
      <c r="P278">
        <f>IFERROR(VLOOKUP(O278,Merchant_Day_Analysis!$A$5:$G$447,7,FALSE),"Not found")</f>
        <v/>
      </c>
    </row>
    <row r="279">
      <c r="A279" t="inlineStr">
        <is>
          <t>TXN100277</t>
        </is>
      </c>
      <c r="B279" t="n">
        <v>57</v>
      </c>
      <c r="C279" t="n">
        <v>19</v>
      </c>
      <c r="D279" s="6" t="n">
        <v>46042.68541666667</v>
      </c>
      <c r="E279" t="n">
        <v>49</v>
      </c>
      <c r="F279" t="inlineStr">
        <is>
          <t>UPI</t>
        </is>
      </c>
      <c r="G279" t="inlineStr">
        <is>
          <t>captured</t>
        </is>
      </c>
      <c r="H279" t="n">
        <v>30</v>
      </c>
      <c r="I279">
        <f>IFERROR(VLOOKUP(C279,Merchants!$A$2:$D$41,2,FALSE),"Merchant not found")</f>
        <v/>
      </c>
      <c r="J279">
        <f>IFERROR(VLOOKUP(C279,Merchants!$A$2:$D$41,3,FALSE),"Merchant not found")</f>
        <v/>
      </c>
      <c r="K279">
        <f>IFERROR(VLOOKUP(C279,Merchants!$A$2:$D$41,4,FALSE),"Merchant not found")</f>
        <v/>
      </c>
      <c r="L279" s="4">
        <f>HLOOKUP(F279,Fee_Tiers!$B$2:$E$3,2,FALSE)</f>
        <v/>
      </c>
      <c r="M279">
        <f>E279*L279</f>
        <v/>
      </c>
      <c r="N279" s="5" t="n">
        <v>46042</v>
      </c>
      <c r="O279">
        <f>C279&amp;"_"&amp;TEXT(N279,"yyyy-mm-dd")</f>
        <v/>
      </c>
      <c r="P279">
        <f>IFERROR(VLOOKUP(O279,Merchant_Day_Analysis!$A$5:$G$447,7,FALSE),"Not found")</f>
        <v/>
      </c>
    </row>
    <row r="280">
      <c r="A280" t="inlineStr">
        <is>
          <t>TXN100278</t>
        </is>
      </c>
      <c r="B280" t="n">
        <v>123</v>
      </c>
      <c r="C280" t="n">
        <v>27</v>
      </c>
      <c r="D280" s="6" t="n">
        <v>46032.12708333333</v>
      </c>
      <c r="E280" t="n">
        <v>149</v>
      </c>
      <c r="F280" t="inlineStr">
        <is>
          <t>Netbanking</t>
        </is>
      </c>
      <c r="G280" t="inlineStr">
        <is>
          <t>captured</t>
        </is>
      </c>
      <c r="H280" t="n">
        <v>81</v>
      </c>
      <c r="I280">
        <f>IFERROR(VLOOKUP(C280,Merchants!$A$2:$D$41,2,FALSE),"Merchant not found")</f>
        <v/>
      </c>
      <c r="J280">
        <f>IFERROR(VLOOKUP(C280,Merchants!$A$2:$D$41,3,FALSE),"Merchant not found")</f>
        <v/>
      </c>
      <c r="K280">
        <f>IFERROR(VLOOKUP(C280,Merchants!$A$2:$D$41,4,FALSE),"Merchant not found")</f>
        <v/>
      </c>
      <c r="L280" s="4">
        <f>HLOOKUP(F280,Fee_Tiers!$B$2:$E$3,2,FALSE)</f>
        <v/>
      </c>
      <c r="M280">
        <f>E280*L280</f>
        <v/>
      </c>
      <c r="N280" s="5" t="n">
        <v>46032</v>
      </c>
      <c r="O280">
        <f>C280&amp;"_"&amp;TEXT(N280,"yyyy-mm-dd")</f>
        <v/>
      </c>
      <c r="P280">
        <f>IFERROR(VLOOKUP(O280,Merchant_Day_Analysis!$A$5:$G$447,7,FALSE),"Not found")</f>
        <v/>
      </c>
    </row>
    <row r="281">
      <c r="A281" t="inlineStr">
        <is>
          <t>TXN100279</t>
        </is>
      </c>
      <c r="B281" t="n">
        <v>33</v>
      </c>
      <c r="C281" t="n">
        <v>8</v>
      </c>
      <c r="D281" s="6" t="n">
        <v>46048.81180555555</v>
      </c>
      <c r="E281" t="n">
        <v>299</v>
      </c>
      <c r="F281" t="inlineStr">
        <is>
          <t>Wallet</t>
        </is>
      </c>
      <c r="G281" t="inlineStr">
        <is>
          <t>captured</t>
        </is>
      </c>
      <c r="H281" t="n">
        <v>63</v>
      </c>
      <c r="I281">
        <f>IFERROR(VLOOKUP(C281,Merchants!$A$2:$D$41,2,FALSE),"Merchant not found")</f>
        <v/>
      </c>
      <c r="J281">
        <f>IFERROR(VLOOKUP(C281,Merchants!$A$2:$D$41,3,FALSE),"Merchant not found")</f>
        <v/>
      </c>
      <c r="K281">
        <f>IFERROR(VLOOKUP(C281,Merchants!$A$2:$D$41,4,FALSE),"Merchant not found")</f>
        <v/>
      </c>
      <c r="L281" s="4">
        <f>HLOOKUP(F281,Fee_Tiers!$B$2:$E$3,2,FALSE)</f>
        <v/>
      </c>
      <c r="M281">
        <f>E281*L281</f>
        <v/>
      </c>
      <c r="N281" s="5" t="n">
        <v>46048</v>
      </c>
      <c r="O281">
        <f>C281&amp;"_"&amp;TEXT(N281,"yyyy-mm-dd")</f>
        <v/>
      </c>
      <c r="P281">
        <f>IFERROR(VLOOKUP(O281,Merchant_Day_Analysis!$A$5:$G$447,7,FALSE),"Not found")</f>
        <v/>
      </c>
    </row>
    <row r="282">
      <c r="A282" t="inlineStr">
        <is>
          <t>TXN100280</t>
        </is>
      </c>
      <c r="B282" t="n">
        <v>324</v>
      </c>
      <c r="C282" t="n">
        <v>33</v>
      </c>
      <c r="D282" s="6" t="n">
        <v>46042.70902777778</v>
      </c>
      <c r="E282" t="n">
        <v>499</v>
      </c>
      <c r="F282" t="inlineStr">
        <is>
          <t>UPI</t>
        </is>
      </c>
      <c r="G282" t="inlineStr">
        <is>
          <t>captured</t>
        </is>
      </c>
      <c r="H282" t="n">
        <v>73</v>
      </c>
      <c r="I282">
        <f>IFERROR(VLOOKUP(C282,Merchants!$A$2:$D$41,2,FALSE),"Merchant not found")</f>
        <v/>
      </c>
      <c r="J282">
        <f>IFERROR(VLOOKUP(C282,Merchants!$A$2:$D$41,3,FALSE),"Merchant not found")</f>
        <v/>
      </c>
      <c r="K282">
        <f>IFERROR(VLOOKUP(C282,Merchants!$A$2:$D$41,4,FALSE),"Merchant not found")</f>
        <v/>
      </c>
      <c r="L282" s="4">
        <f>HLOOKUP(F282,Fee_Tiers!$B$2:$E$3,2,FALSE)</f>
        <v/>
      </c>
      <c r="M282">
        <f>E282*L282</f>
        <v/>
      </c>
      <c r="N282" s="5" t="n">
        <v>46042</v>
      </c>
      <c r="O282">
        <f>C282&amp;"_"&amp;TEXT(N282,"yyyy-mm-dd")</f>
        <v/>
      </c>
      <c r="P282">
        <f>IFERROR(VLOOKUP(O282,Merchant_Day_Analysis!$A$5:$G$447,7,FALSE),"Not found")</f>
        <v/>
      </c>
    </row>
    <row r="283">
      <c r="A283" t="inlineStr">
        <is>
          <t>TXN100281</t>
        </is>
      </c>
      <c r="B283" t="n">
        <v>150</v>
      </c>
      <c r="C283" t="n">
        <v>28</v>
      </c>
      <c r="D283" s="6" t="n">
        <v>46030.92291666667</v>
      </c>
      <c r="E283" t="n">
        <v>49</v>
      </c>
      <c r="F283" t="inlineStr">
        <is>
          <t>UPI</t>
        </is>
      </c>
      <c r="G283" t="inlineStr">
        <is>
          <t>failed</t>
        </is>
      </c>
      <c r="H283" t="n">
        <v>0</v>
      </c>
      <c r="I283">
        <f>IFERROR(VLOOKUP(C283,Merchants!$A$2:$D$41,2,FALSE),"Merchant not found")</f>
        <v/>
      </c>
      <c r="J283">
        <f>IFERROR(VLOOKUP(C283,Merchants!$A$2:$D$41,3,FALSE),"Merchant not found")</f>
        <v/>
      </c>
      <c r="K283">
        <f>IFERROR(VLOOKUP(C283,Merchants!$A$2:$D$41,4,FALSE),"Merchant not found")</f>
        <v/>
      </c>
      <c r="L283" s="4">
        <f>HLOOKUP(F283,Fee_Tiers!$B$2:$E$3,2,FALSE)</f>
        <v/>
      </c>
      <c r="M283">
        <f>E283*L283</f>
        <v/>
      </c>
      <c r="N283" s="5" t="n">
        <v>46030</v>
      </c>
      <c r="O283">
        <f>C283&amp;"_"&amp;TEXT(N283,"yyyy-mm-dd")</f>
        <v/>
      </c>
      <c r="P283">
        <f>IFERROR(VLOOKUP(O283,Merchant_Day_Analysis!$A$5:$G$447,7,FALSE),"Not found")</f>
        <v/>
      </c>
    </row>
    <row r="284">
      <c r="A284" t="inlineStr">
        <is>
          <t>TXN100282</t>
        </is>
      </c>
      <c r="B284" t="n">
        <v>293</v>
      </c>
      <c r="C284" t="n">
        <v>27</v>
      </c>
      <c r="D284" s="6" t="n">
        <v>46042.46875</v>
      </c>
      <c r="E284" t="n">
        <v>4999</v>
      </c>
      <c r="F284" t="inlineStr">
        <is>
          <t>UPI</t>
        </is>
      </c>
      <c r="G284" t="inlineStr">
        <is>
          <t>captured</t>
        </is>
      </c>
      <c r="H284" t="n">
        <v>23</v>
      </c>
      <c r="I284">
        <f>IFERROR(VLOOKUP(C284,Merchants!$A$2:$D$41,2,FALSE),"Merchant not found")</f>
        <v/>
      </c>
      <c r="J284">
        <f>IFERROR(VLOOKUP(C284,Merchants!$A$2:$D$41,3,FALSE),"Merchant not found")</f>
        <v/>
      </c>
      <c r="K284">
        <f>IFERROR(VLOOKUP(C284,Merchants!$A$2:$D$41,4,FALSE),"Merchant not found")</f>
        <v/>
      </c>
      <c r="L284" s="4">
        <f>HLOOKUP(F284,Fee_Tiers!$B$2:$E$3,2,FALSE)</f>
        <v/>
      </c>
      <c r="M284">
        <f>E284*L284</f>
        <v/>
      </c>
      <c r="N284" s="5" t="n">
        <v>46042</v>
      </c>
      <c r="O284">
        <f>C284&amp;"_"&amp;TEXT(N284,"yyyy-mm-dd")</f>
        <v/>
      </c>
      <c r="P284">
        <f>IFERROR(VLOOKUP(O284,Merchant_Day_Analysis!$A$5:$G$447,7,FALSE),"Not found")</f>
        <v/>
      </c>
    </row>
    <row r="285">
      <c r="A285" t="inlineStr">
        <is>
          <t>TXN100283</t>
        </is>
      </c>
      <c r="B285" t="n">
        <v>269</v>
      </c>
      <c r="C285" t="n">
        <v>24</v>
      </c>
      <c r="D285" s="6" t="n">
        <v>46044.87847222222</v>
      </c>
      <c r="E285" t="n">
        <v>49</v>
      </c>
      <c r="F285" t="inlineStr">
        <is>
          <t>Wallet</t>
        </is>
      </c>
      <c r="G285" t="inlineStr">
        <is>
          <t>captured</t>
        </is>
      </c>
      <c r="H285" t="n">
        <v>8</v>
      </c>
      <c r="I285">
        <f>IFERROR(VLOOKUP(C285,Merchants!$A$2:$D$41,2,FALSE),"Merchant not found")</f>
        <v/>
      </c>
      <c r="J285">
        <f>IFERROR(VLOOKUP(C285,Merchants!$A$2:$D$41,3,FALSE),"Merchant not found")</f>
        <v/>
      </c>
      <c r="K285">
        <f>IFERROR(VLOOKUP(C285,Merchants!$A$2:$D$41,4,FALSE),"Merchant not found")</f>
        <v/>
      </c>
      <c r="L285" s="4">
        <f>HLOOKUP(F285,Fee_Tiers!$B$2:$E$3,2,FALSE)</f>
        <v/>
      </c>
      <c r="M285">
        <f>E285*L285</f>
        <v/>
      </c>
      <c r="N285" s="5" t="n">
        <v>46044</v>
      </c>
      <c r="O285">
        <f>C285&amp;"_"&amp;TEXT(N285,"yyyy-mm-dd")</f>
        <v/>
      </c>
      <c r="P285">
        <f>IFERROR(VLOOKUP(O285,Merchant_Day_Analysis!$A$5:$G$447,7,FALSE),"Not found")</f>
        <v/>
      </c>
    </row>
    <row r="286">
      <c r="A286" t="inlineStr">
        <is>
          <t>TXN100284</t>
        </is>
      </c>
      <c r="B286" t="n">
        <v>260</v>
      </c>
      <c r="C286" t="n">
        <v>36</v>
      </c>
      <c r="D286" s="6" t="n">
        <v>46039.73055555556</v>
      </c>
      <c r="E286" t="n">
        <v>1499</v>
      </c>
      <c r="F286" t="inlineStr">
        <is>
          <t>UPI</t>
        </is>
      </c>
      <c r="G286" t="inlineStr">
        <is>
          <t>captured</t>
        </is>
      </c>
      <c r="H286" t="n">
        <v>2</v>
      </c>
      <c r="I286">
        <f>IFERROR(VLOOKUP(C286,Merchants!$A$2:$D$41,2,FALSE),"Merchant not found")</f>
        <v/>
      </c>
      <c r="J286">
        <f>IFERROR(VLOOKUP(C286,Merchants!$A$2:$D$41,3,FALSE),"Merchant not found")</f>
        <v/>
      </c>
      <c r="K286">
        <f>IFERROR(VLOOKUP(C286,Merchants!$A$2:$D$41,4,FALSE),"Merchant not found")</f>
        <v/>
      </c>
      <c r="L286" s="4">
        <f>HLOOKUP(F286,Fee_Tiers!$B$2:$E$3,2,FALSE)</f>
        <v/>
      </c>
      <c r="M286">
        <f>E286*L286</f>
        <v/>
      </c>
      <c r="N286" s="5" t="n">
        <v>46039</v>
      </c>
      <c r="O286">
        <f>C286&amp;"_"&amp;TEXT(N286,"yyyy-mm-dd")</f>
        <v/>
      </c>
      <c r="P286">
        <f>IFERROR(VLOOKUP(O286,Merchant_Day_Analysis!$A$5:$G$447,7,FALSE),"Not found")</f>
        <v/>
      </c>
    </row>
    <row r="287">
      <c r="A287" t="inlineStr">
        <is>
          <t>TXN100285</t>
        </is>
      </c>
      <c r="B287" t="n">
        <v>326</v>
      </c>
      <c r="C287" t="n">
        <v>25</v>
      </c>
      <c r="D287" s="6" t="n">
        <v>46035.62638888889</v>
      </c>
      <c r="E287" t="n">
        <v>49</v>
      </c>
      <c r="F287" t="inlineStr">
        <is>
          <t>UPI</t>
        </is>
      </c>
      <c r="G287" t="inlineStr">
        <is>
          <t>captured</t>
        </is>
      </c>
      <c r="H287" t="n">
        <v>47</v>
      </c>
      <c r="I287">
        <f>IFERROR(VLOOKUP(C287,Merchants!$A$2:$D$41,2,FALSE),"Merchant not found")</f>
        <v/>
      </c>
      <c r="J287">
        <f>IFERROR(VLOOKUP(C287,Merchants!$A$2:$D$41,3,FALSE),"Merchant not found")</f>
        <v/>
      </c>
      <c r="K287">
        <f>IFERROR(VLOOKUP(C287,Merchants!$A$2:$D$41,4,FALSE),"Merchant not found")</f>
        <v/>
      </c>
      <c r="L287" s="4">
        <f>HLOOKUP(F287,Fee_Tiers!$B$2:$E$3,2,FALSE)</f>
        <v/>
      </c>
      <c r="M287">
        <f>E287*L287</f>
        <v/>
      </c>
      <c r="N287" s="5" t="n">
        <v>46035</v>
      </c>
      <c r="O287">
        <f>C287&amp;"_"&amp;TEXT(N287,"yyyy-mm-dd")</f>
        <v/>
      </c>
      <c r="P287">
        <f>IFERROR(VLOOKUP(O287,Merchant_Day_Analysis!$A$5:$G$447,7,FALSE),"Not found")</f>
        <v/>
      </c>
    </row>
    <row r="288">
      <c r="A288" t="inlineStr">
        <is>
          <t>TXN100286</t>
        </is>
      </c>
      <c r="B288" t="n">
        <v>183</v>
      </c>
      <c r="C288" t="n">
        <v>5</v>
      </c>
      <c r="D288" s="6" t="n">
        <v>46031.95902777778</v>
      </c>
      <c r="E288" t="n">
        <v>49</v>
      </c>
      <c r="F288" t="inlineStr">
        <is>
          <t>Card</t>
        </is>
      </c>
      <c r="G288" t="inlineStr">
        <is>
          <t>captured</t>
        </is>
      </c>
      <c r="H288" t="n">
        <v>44</v>
      </c>
      <c r="I288">
        <f>IFERROR(VLOOKUP(C288,Merchants!$A$2:$D$41,2,FALSE),"Merchant not found")</f>
        <v/>
      </c>
      <c r="J288">
        <f>IFERROR(VLOOKUP(C288,Merchants!$A$2:$D$41,3,FALSE),"Merchant not found")</f>
        <v/>
      </c>
      <c r="K288">
        <f>IFERROR(VLOOKUP(C288,Merchants!$A$2:$D$41,4,FALSE),"Merchant not found")</f>
        <v/>
      </c>
      <c r="L288" s="4">
        <f>HLOOKUP(F288,Fee_Tiers!$B$2:$E$3,2,FALSE)</f>
        <v/>
      </c>
      <c r="M288">
        <f>E288*L288</f>
        <v/>
      </c>
      <c r="N288" s="5" t="n">
        <v>46031</v>
      </c>
      <c r="O288">
        <f>C288&amp;"_"&amp;TEXT(N288,"yyyy-mm-dd")</f>
        <v/>
      </c>
      <c r="P288">
        <f>IFERROR(VLOOKUP(O288,Merchant_Day_Analysis!$A$5:$G$447,7,FALSE),"Not found")</f>
        <v/>
      </c>
    </row>
    <row r="289">
      <c r="A289" t="inlineStr">
        <is>
          <t>TXN100287</t>
        </is>
      </c>
      <c r="B289" t="n">
        <v>322</v>
      </c>
      <c r="C289" t="n">
        <v>7</v>
      </c>
      <c r="D289" s="6" t="n">
        <v>46030.9875</v>
      </c>
      <c r="E289" t="n">
        <v>299</v>
      </c>
      <c r="F289" t="inlineStr">
        <is>
          <t>UPI</t>
        </is>
      </c>
      <c r="G289" t="inlineStr">
        <is>
          <t>captured</t>
        </is>
      </c>
      <c r="H289" t="n">
        <v>98</v>
      </c>
      <c r="I289">
        <f>IFERROR(VLOOKUP(C289,Merchants!$A$2:$D$41,2,FALSE),"Merchant not found")</f>
        <v/>
      </c>
      <c r="J289">
        <f>IFERROR(VLOOKUP(C289,Merchants!$A$2:$D$41,3,FALSE),"Merchant not found")</f>
        <v/>
      </c>
      <c r="K289">
        <f>IFERROR(VLOOKUP(C289,Merchants!$A$2:$D$41,4,FALSE),"Merchant not found")</f>
        <v/>
      </c>
      <c r="L289" s="4">
        <f>HLOOKUP(F289,Fee_Tiers!$B$2:$E$3,2,FALSE)</f>
        <v/>
      </c>
      <c r="M289">
        <f>E289*L289</f>
        <v/>
      </c>
      <c r="N289" s="5" t="n">
        <v>46030</v>
      </c>
      <c r="O289">
        <f>C289&amp;"_"&amp;TEXT(N289,"yyyy-mm-dd")</f>
        <v/>
      </c>
      <c r="P289">
        <f>IFERROR(VLOOKUP(O289,Merchant_Day_Analysis!$A$5:$G$447,7,FALSE),"Not found")</f>
        <v/>
      </c>
    </row>
    <row r="290">
      <c r="A290" t="inlineStr">
        <is>
          <t>TXN100288</t>
        </is>
      </c>
      <c r="B290" t="n">
        <v>171</v>
      </c>
      <c r="C290" t="n">
        <v>9</v>
      </c>
      <c r="D290" s="6" t="n">
        <v>46041.99166666667</v>
      </c>
      <c r="E290" t="n">
        <v>299</v>
      </c>
      <c r="F290" t="inlineStr">
        <is>
          <t>UPI</t>
        </is>
      </c>
      <c r="G290" t="inlineStr">
        <is>
          <t>captured</t>
        </is>
      </c>
      <c r="H290" t="n">
        <v>5</v>
      </c>
      <c r="I290">
        <f>IFERROR(VLOOKUP(C290,Merchants!$A$2:$D$41,2,FALSE),"Merchant not found")</f>
        <v/>
      </c>
      <c r="J290">
        <f>IFERROR(VLOOKUP(C290,Merchants!$A$2:$D$41,3,FALSE),"Merchant not found")</f>
        <v/>
      </c>
      <c r="K290">
        <f>IFERROR(VLOOKUP(C290,Merchants!$A$2:$D$41,4,FALSE),"Merchant not found")</f>
        <v/>
      </c>
      <c r="L290" s="4">
        <f>HLOOKUP(F290,Fee_Tiers!$B$2:$E$3,2,FALSE)</f>
        <v/>
      </c>
      <c r="M290">
        <f>E290*L290</f>
        <v/>
      </c>
      <c r="N290" s="5" t="n">
        <v>46041</v>
      </c>
      <c r="O290">
        <f>C290&amp;"_"&amp;TEXT(N290,"yyyy-mm-dd")</f>
        <v/>
      </c>
      <c r="P290">
        <f>IFERROR(VLOOKUP(O290,Merchant_Day_Analysis!$A$5:$G$447,7,FALSE),"Not found")</f>
        <v/>
      </c>
    </row>
    <row r="291">
      <c r="A291" t="inlineStr">
        <is>
          <t>TXN100289</t>
        </is>
      </c>
      <c r="B291" t="n">
        <v>330</v>
      </c>
      <c r="C291" t="n">
        <v>12</v>
      </c>
      <c r="D291" s="6" t="n">
        <v>46034.72291666667</v>
      </c>
      <c r="E291" t="n">
        <v>1499</v>
      </c>
      <c r="F291" t="inlineStr">
        <is>
          <t>Netbanking</t>
        </is>
      </c>
      <c r="G291" t="inlineStr">
        <is>
          <t>captured</t>
        </is>
      </c>
      <c r="H291" t="n">
        <v>99</v>
      </c>
      <c r="I291">
        <f>IFERROR(VLOOKUP(C291,Merchants!$A$2:$D$41,2,FALSE),"Merchant not found")</f>
        <v/>
      </c>
      <c r="J291">
        <f>IFERROR(VLOOKUP(C291,Merchants!$A$2:$D$41,3,FALSE),"Merchant not found")</f>
        <v/>
      </c>
      <c r="K291">
        <f>IFERROR(VLOOKUP(C291,Merchants!$A$2:$D$41,4,FALSE),"Merchant not found")</f>
        <v/>
      </c>
      <c r="L291" s="4">
        <f>HLOOKUP(F291,Fee_Tiers!$B$2:$E$3,2,FALSE)</f>
        <v/>
      </c>
      <c r="M291">
        <f>E291*L291</f>
        <v/>
      </c>
      <c r="N291" s="5" t="n">
        <v>46034</v>
      </c>
      <c r="O291">
        <f>C291&amp;"_"&amp;TEXT(N291,"yyyy-mm-dd")</f>
        <v/>
      </c>
      <c r="P291">
        <f>IFERROR(VLOOKUP(O291,Merchant_Day_Analysis!$A$5:$G$447,7,FALSE),"Not found")</f>
        <v/>
      </c>
    </row>
    <row r="292">
      <c r="A292" t="inlineStr">
        <is>
          <t>TXN100290</t>
        </is>
      </c>
      <c r="B292" t="n">
        <v>246</v>
      </c>
      <c r="C292" t="n">
        <v>12</v>
      </c>
      <c r="D292" s="6" t="n">
        <v>46044.61388888889</v>
      </c>
      <c r="E292" t="n">
        <v>99</v>
      </c>
      <c r="F292" t="inlineStr">
        <is>
          <t>Wallet</t>
        </is>
      </c>
      <c r="G292" t="inlineStr">
        <is>
          <t>captured</t>
        </is>
      </c>
      <c r="H292" t="n">
        <v>17</v>
      </c>
      <c r="I292">
        <f>IFERROR(VLOOKUP(C292,Merchants!$A$2:$D$41,2,FALSE),"Merchant not found")</f>
        <v/>
      </c>
      <c r="J292">
        <f>IFERROR(VLOOKUP(C292,Merchants!$A$2:$D$41,3,FALSE),"Merchant not found")</f>
        <v/>
      </c>
      <c r="K292">
        <f>IFERROR(VLOOKUP(C292,Merchants!$A$2:$D$41,4,FALSE),"Merchant not found")</f>
        <v/>
      </c>
      <c r="L292" s="4">
        <f>HLOOKUP(F292,Fee_Tiers!$B$2:$E$3,2,FALSE)</f>
        <v/>
      </c>
      <c r="M292">
        <f>E292*L292</f>
        <v/>
      </c>
      <c r="N292" s="5" t="n">
        <v>46044</v>
      </c>
      <c r="O292">
        <f>C292&amp;"_"&amp;TEXT(N292,"yyyy-mm-dd")</f>
        <v/>
      </c>
      <c r="P292">
        <f>IFERROR(VLOOKUP(O292,Merchant_Day_Analysis!$A$5:$G$447,7,FALSE),"Not found")</f>
        <v/>
      </c>
    </row>
    <row r="293">
      <c r="A293" t="inlineStr">
        <is>
          <t>TXN100291</t>
        </is>
      </c>
      <c r="B293" t="n">
        <v>235</v>
      </c>
      <c r="C293" t="n">
        <v>3</v>
      </c>
      <c r="D293" s="6" t="n">
        <v>46025.95069444444</v>
      </c>
      <c r="E293" t="n">
        <v>49</v>
      </c>
      <c r="F293" t="inlineStr">
        <is>
          <t>UPI</t>
        </is>
      </c>
      <c r="G293" t="inlineStr">
        <is>
          <t>captured</t>
        </is>
      </c>
      <c r="H293" t="n">
        <v>37</v>
      </c>
      <c r="I293">
        <f>IFERROR(VLOOKUP(C293,Merchants!$A$2:$D$41,2,FALSE),"Merchant not found")</f>
        <v/>
      </c>
      <c r="J293">
        <f>IFERROR(VLOOKUP(C293,Merchants!$A$2:$D$41,3,FALSE),"Merchant not found")</f>
        <v/>
      </c>
      <c r="K293">
        <f>IFERROR(VLOOKUP(C293,Merchants!$A$2:$D$41,4,FALSE),"Merchant not found")</f>
        <v/>
      </c>
      <c r="L293" s="4">
        <f>HLOOKUP(F293,Fee_Tiers!$B$2:$E$3,2,FALSE)</f>
        <v/>
      </c>
      <c r="M293">
        <f>E293*L293</f>
        <v/>
      </c>
      <c r="N293" s="5" t="n">
        <v>46025</v>
      </c>
      <c r="O293">
        <f>C293&amp;"_"&amp;TEXT(N293,"yyyy-mm-dd")</f>
        <v/>
      </c>
      <c r="P293">
        <f>IFERROR(VLOOKUP(O293,Merchant_Day_Analysis!$A$5:$G$447,7,FALSE),"Not found")</f>
        <v/>
      </c>
    </row>
    <row r="294">
      <c r="A294" t="inlineStr">
        <is>
          <t>TXN100292</t>
        </is>
      </c>
      <c r="B294" t="n">
        <v>103</v>
      </c>
      <c r="C294" t="n">
        <v>3</v>
      </c>
      <c r="D294" s="6" t="n">
        <v>46029.07638888889</v>
      </c>
      <c r="E294" t="n">
        <v>499</v>
      </c>
      <c r="F294" t="inlineStr">
        <is>
          <t>UPI</t>
        </is>
      </c>
      <c r="G294" t="inlineStr">
        <is>
          <t>captured</t>
        </is>
      </c>
      <c r="H294" t="n">
        <v>40</v>
      </c>
      <c r="I294">
        <f>IFERROR(VLOOKUP(C294,Merchants!$A$2:$D$41,2,FALSE),"Merchant not found")</f>
        <v/>
      </c>
      <c r="J294">
        <f>IFERROR(VLOOKUP(C294,Merchants!$A$2:$D$41,3,FALSE),"Merchant not found")</f>
        <v/>
      </c>
      <c r="K294">
        <f>IFERROR(VLOOKUP(C294,Merchants!$A$2:$D$41,4,FALSE),"Merchant not found")</f>
        <v/>
      </c>
      <c r="L294" s="4">
        <f>HLOOKUP(F294,Fee_Tiers!$B$2:$E$3,2,FALSE)</f>
        <v/>
      </c>
      <c r="M294">
        <f>E294*L294</f>
        <v/>
      </c>
      <c r="N294" s="5" t="n">
        <v>46029</v>
      </c>
      <c r="O294">
        <f>C294&amp;"_"&amp;TEXT(N294,"yyyy-mm-dd")</f>
        <v/>
      </c>
      <c r="P294">
        <f>IFERROR(VLOOKUP(O294,Merchant_Day_Analysis!$A$5:$G$447,7,FALSE),"Not found")</f>
        <v/>
      </c>
    </row>
    <row r="295">
      <c r="A295" t="inlineStr">
        <is>
          <t>TXN100293</t>
        </is>
      </c>
      <c r="B295" t="n">
        <v>204</v>
      </c>
      <c r="C295" t="n">
        <v>35</v>
      </c>
      <c r="D295" s="6" t="n">
        <v>46052.39722222222</v>
      </c>
      <c r="E295" t="n">
        <v>99</v>
      </c>
      <c r="F295" t="inlineStr">
        <is>
          <t>Wallet</t>
        </is>
      </c>
      <c r="G295" t="inlineStr">
        <is>
          <t>captured</t>
        </is>
      </c>
      <c r="H295" t="n">
        <v>60</v>
      </c>
      <c r="I295">
        <f>IFERROR(VLOOKUP(C295,Merchants!$A$2:$D$41,2,FALSE),"Merchant not found")</f>
        <v/>
      </c>
      <c r="J295">
        <f>IFERROR(VLOOKUP(C295,Merchants!$A$2:$D$41,3,FALSE),"Merchant not found")</f>
        <v/>
      </c>
      <c r="K295">
        <f>IFERROR(VLOOKUP(C295,Merchants!$A$2:$D$41,4,FALSE),"Merchant not found")</f>
        <v/>
      </c>
      <c r="L295" s="4">
        <f>HLOOKUP(F295,Fee_Tiers!$B$2:$E$3,2,FALSE)</f>
        <v/>
      </c>
      <c r="M295">
        <f>E295*L295</f>
        <v/>
      </c>
      <c r="N295" s="5" t="n">
        <v>46052</v>
      </c>
      <c r="O295">
        <f>C295&amp;"_"&amp;TEXT(N295,"yyyy-mm-dd")</f>
        <v/>
      </c>
      <c r="P295">
        <f>IFERROR(VLOOKUP(O295,Merchant_Day_Analysis!$A$5:$G$447,7,FALSE),"Not found")</f>
        <v/>
      </c>
    </row>
    <row r="296">
      <c r="A296" t="inlineStr">
        <is>
          <t>TXN100294</t>
        </is>
      </c>
      <c r="B296" t="n">
        <v>332</v>
      </c>
      <c r="C296" t="n">
        <v>13</v>
      </c>
      <c r="D296" s="6" t="n">
        <v>46031.075</v>
      </c>
      <c r="E296" t="n">
        <v>49</v>
      </c>
      <c r="F296" t="inlineStr">
        <is>
          <t>Card</t>
        </is>
      </c>
      <c r="G296" t="inlineStr">
        <is>
          <t>captured</t>
        </is>
      </c>
      <c r="H296" t="n">
        <v>36</v>
      </c>
      <c r="I296">
        <f>IFERROR(VLOOKUP(C296,Merchants!$A$2:$D$41,2,FALSE),"Merchant not found")</f>
        <v/>
      </c>
      <c r="J296">
        <f>IFERROR(VLOOKUP(C296,Merchants!$A$2:$D$41,3,FALSE),"Merchant not found")</f>
        <v/>
      </c>
      <c r="K296">
        <f>IFERROR(VLOOKUP(C296,Merchants!$A$2:$D$41,4,FALSE),"Merchant not found")</f>
        <v/>
      </c>
      <c r="L296" s="4">
        <f>HLOOKUP(F296,Fee_Tiers!$B$2:$E$3,2,FALSE)</f>
        <v/>
      </c>
      <c r="M296">
        <f>E296*L296</f>
        <v/>
      </c>
      <c r="N296" s="5" t="n">
        <v>46031</v>
      </c>
      <c r="O296">
        <f>C296&amp;"_"&amp;TEXT(N296,"yyyy-mm-dd")</f>
        <v/>
      </c>
      <c r="P296">
        <f>IFERROR(VLOOKUP(O296,Merchant_Day_Analysis!$A$5:$G$447,7,FALSE),"Not found")</f>
        <v/>
      </c>
    </row>
    <row r="297">
      <c r="A297" t="inlineStr">
        <is>
          <t>TXN100295</t>
        </is>
      </c>
      <c r="B297" t="n">
        <v>336</v>
      </c>
      <c r="C297" t="n">
        <v>22</v>
      </c>
      <c r="D297" s="6" t="n">
        <v>46034.07986111111</v>
      </c>
      <c r="E297" t="n">
        <v>499</v>
      </c>
      <c r="F297" t="inlineStr">
        <is>
          <t>UPI</t>
        </is>
      </c>
      <c r="G297" t="inlineStr">
        <is>
          <t>captured</t>
        </is>
      </c>
      <c r="H297" t="n">
        <v>34</v>
      </c>
      <c r="I297">
        <f>IFERROR(VLOOKUP(C297,Merchants!$A$2:$D$41,2,FALSE),"Merchant not found")</f>
        <v/>
      </c>
      <c r="J297">
        <f>IFERROR(VLOOKUP(C297,Merchants!$A$2:$D$41,3,FALSE),"Merchant not found")</f>
        <v/>
      </c>
      <c r="K297">
        <f>IFERROR(VLOOKUP(C297,Merchants!$A$2:$D$41,4,FALSE),"Merchant not found")</f>
        <v/>
      </c>
      <c r="L297" s="4">
        <f>HLOOKUP(F297,Fee_Tiers!$B$2:$E$3,2,FALSE)</f>
        <v/>
      </c>
      <c r="M297">
        <f>E297*L297</f>
        <v/>
      </c>
      <c r="N297" s="5" t="n">
        <v>46034</v>
      </c>
      <c r="O297">
        <f>C297&amp;"_"&amp;TEXT(N297,"yyyy-mm-dd")</f>
        <v/>
      </c>
      <c r="P297">
        <f>IFERROR(VLOOKUP(O297,Merchant_Day_Analysis!$A$5:$G$447,7,FALSE),"Not found")</f>
        <v/>
      </c>
    </row>
    <row r="298">
      <c r="A298" t="inlineStr">
        <is>
          <t>TXN100296</t>
        </is>
      </c>
      <c r="B298" t="n">
        <v>205</v>
      </c>
      <c r="C298" t="n">
        <v>29</v>
      </c>
      <c r="D298" s="6" t="n">
        <v>46026.47708333333</v>
      </c>
      <c r="E298" t="n">
        <v>99</v>
      </c>
      <c r="F298" t="inlineStr">
        <is>
          <t>Wallet</t>
        </is>
      </c>
      <c r="G298" t="inlineStr">
        <is>
          <t>captured</t>
        </is>
      </c>
      <c r="H298" t="n">
        <v>49</v>
      </c>
      <c r="I298">
        <f>IFERROR(VLOOKUP(C298,Merchants!$A$2:$D$41,2,FALSE),"Merchant not found")</f>
        <v/>
      </c>
      <c r="J298">
        <f>IFERROR(VLOOKUP(C298,Merchants!$A$2:$D$41,3,FALSE),"Merchant not found")</f>
        <v/>
      </c>
      <c r="K298">
        <f>IFERROR(VLOOKUP(C298,Merchants!$A$2:$D$41,4,FALSE),"Merchant not found")</f>
        <v/>
      </c>
      <c r="L298" s="4">
        <f>HLOOKUP(F298,Fee_Tiers!$B$2:$E$3,2,FALSE)</f>
        <v/>
      </c>
      <c r="M298">
        <f>E298*L298</f>
        <v/>
      </c>
      <c r="N298" s="5" t="n">
        <v>46026</v>
      </c>
      <c r="O298">
        <f>C298&amp;"_"&amp;TEXT(N298,"yyyy-mm-dd")</f>
        <v/>
      </c>
      <c r="P298">
        <f>IFERROR(VLOOKUP(O298,Merchant_Day_Analysis!$A$5:$G$447,7,FALSE),"Not found")</f>
        <v/>
      </c>
    </row>
    <row r="299">
      <c r="A299" t="inlineStr">
        <is>
          <t>TXN100297</t>
        </is>
      </c>
      <c r="B299" t="n">
        <v>255</v>
      </c>
      <c r="C299" t="n">
        <v>24</v>
      </c>
      <c r="D299" s="6" t="n">
        <v>46033.22986111111</v>
      </c>
      <c r="E299" t="n">
        <v>799</v>
      </c>
      <c r="F299" t="inlineStr">
        <is>
          <t>UPI</t>
        </is>
      </c>
      <c r="G299" t="inlineStr">
        <is>
          <t>captured</t>
        </is>
      </c>
      <c r="H299" t="n">
        <v>66</v>
      </c>
      <c r="I299">
        <f>IFERROR(VLOOKUP(C299,Merchants!$A$2:$D$41,2,FALSE),"Merchant not found")</f>
        <v/>
      </c>
      <c r="J299">
        <f>IFERROR(VLOOKUP(C299,Merchants!$A$2:$D$41,3,FALSE),"Merchant not found")</f>
        <v/>
      </c>
      <c r="K299">
        <f>IFERROR(VLOOKUP(C299,Merchants!$A$2:$D$41,4,FALSE),"Merchant not found")</f>
        <v/>
      </c>
      <c r="L299" s="4">
        <f>HLOOKUP(F299,Fee_Tiers!$B$2:$E$3,2,FALSE)</f>
        <v/>
      </c>
      <c r="M299">
        <f>E299*L299</f>
        <v/>
      </c>
      <c r="N299" s="5" t="n">
        <v>46033</v>
      </c>
      <c r="O299">
        <f>C299&amp;"_"&amp;TEXT(N299,"yyyy-mm-dd")</f>
        <v/>
      </c>
      <c r="P299">
        <f>IFERROR(VLOOKUP(O299,Merchant_Day_Analysis!$A$5:$G$447,7,FALSE),"Not found")</f>
        <v/>
      </c>
    </row>
    <row r="300">
      <c r="A300" t="inlineStr">
        <is>
          <t>TXN100298</t>
        </is>
      </c>
      <c r="B300" t="n">
        <v>218</v>
      </c>
      <c r="C300" t="n">
        <v>6</v>
      </c>
      <c r="D300" s="6" t="n">
        <v>46031.11527777778</v>
      </c>
      <c r="E300" t="n">
        <v>99</v>
      </c>
      <c r="F300" t="inlineStr">
        <is>
          <t>UPI</t>
        </is>
      </c>
      <c r="G300" t="inlineStr">
        <is>
          <t>captured</t>
        </is>
      </c>
      <c r="H300" t="n">
        <v>55</v>
      </c>
      <c r="I300">
        <f>IFERROR(VLOOKUP(C300,Merchants!$A$2:$D$41,2,FALSE),"Merchant not found")</f>
        <v/>
      </c>
      <c r="J300">
        <f>IFERROR(VLOOKUP(C300,Merchants!$A$2:$D$41,3,FALSE),"Merchant not found")</f>
        <v/>
      </c>
      <c r="K300">
        <f>IFERROR(VLOOKUP(C300,Merchants!$A$2:$D$41,4,FALSE),"Merchant not found")</f>
        <v/>
      </c>
      <c r="L300" s="4">
        <f>HLOOKUP(F300,Fee_Tiers!$B$2:$E$3,2,FALSE)</f>
        <v/>
      </c>
      <c r="M300">
        <f>E300*L300</f>
        <v/>
      </c>
      <c r="N300" s="5" t="n">
        <v>46031</v>
      </c>
      <c r="O300">
        <f>C300&amp;"_"&amp;TEXT(N300,"yyyy-mm-dd")</f>
        <v/>
      </c>
      <c r="P300">
        <f>IFERROR(VLOOKUP(O300,Merchant_Day_Analysis!$A$5:$G$447,7,FALSE),"Not found")</f>
        <v/>
      </c>
    </row>
    <row r="301">
      <c r="A301" t="inlineStr">
        <is>
          <t>TXN100299</t>
        </is>
      </c>
      <c r="B301" t="n">
        <v>151</v>
      </c>
      <c r="C301" t="n">
        <v>21</v>
      </c>
      <c r="D301" s="6" t="n">
        <v>46042.23194444444</v>
      </c>
      <c r="E301" t="n">
        <v>49</v>
      </c>
      <c r="F301" t="inlineStr">
        <is>
          <t>UPI</t>
        </is>
      </c>
      <c r="G301" t="inlineStr">
        <is>
          <t>captured</t>
        </is>
      </c>
      <c r="H301" t="n">
        <v>13</v>
      </c>
      <c r="I301">
        <f>IFERROR(VLOOKUP(C301,Merchants!$A$2:$D$41,2,FALSE),"Merchant not found")</f>
        <v/>
      </c>
      <c r="J301">
        <f>IFERROR(VLOOKUP(C301,Merchants!$A$2:$D$41,3,FALSE),"Merchant not found")</f>
        <v/>
      </c>
      <c r="K301">
        <f>IFERROR(VLOOKUP(C301,Merchants!$A$2:$D$41,4,FALSE),"Merchant not found")</f>
        <v/>
      </c>
      <c r="L301" s="4">
        <f>HLOOKUP(F301,Fee_Tiers!$B$2:$E$3,2,FALSE)</f>
        <v/>
      </c>
      <c r="M301">
        <f>E301*L301</f>
        <v/>
      </c>
      <c r="N301" s="5" t="n">
        <v>46042</v>
      </c>
      <c r="O301">
        <f>C301&amp;"_"&amp;TEXT(N301,"yyyy-mm-dd")</f>
        <v/>
      </c>
      <c r="P301">
        <f>IFERROR(VLOOKUP(O301,Merchant_Day_Analysis!$A$5:$G$447,7,FALSE),"Not found")</f>
        <v/>
      </c>
    </row>
    <row r="302">
      <c r="A302" t="inlineStr">
        <is>
          <t>TXN100300</t>
        </is>
      </c>
      <c r="B302" t="n">
        <v>152</v>
      </c>
      <c r="C302" t="n">
        <v>20</v>
      </c>
      <c r="D302" s="6" t="n">
        <v>46025.44583333333</v>
      </c>
      <c r="E302" t="n">
        <v>49</v>
      </c>
      <c r="F302" t="inlineStr">
        <is>
          <t>UPI</t>
        </is>
      </c>
      <c r="G302" t="inlineStr">
        <is>
          <t>captured</t>
        </is>
      </c>
      <c r="H302" t="n">
        <v>57</v>
      </c>
      <c r="I302">
        <f>IFERROR(VLOOKUP(C302,Merchants!$A$2:$D$41,2,FALSE),"Merchant not found")</f>
        <v/>
      </c>
      <c r="J302">
        <f>IFERROR(VLOOKUP(C302,Merchants!$A$2:$D$41,3,FALSE),"Merchant not found")</f>
        <v/>
      </c>
      <c r="K302">
        <f>IFERROR(VLOOKUP(C302,Merchants!$A$2:$D$41,4,FALSE),"Merchant not found")</f>
        <v/>
      </c>
      <c r="L302" s="4">
        <f>HLOOKUP(F302,Fee_Tiers!$B$2:$E$3,2,FALSE)</f>
        <v/>
      </c>
      <c r="M302">
        <f>E302*L302</f>
        <v/>
      </c>
      <c r="N302" s="5" t="n">
        <v>46025</v>
      </c>
      <c r="O302">
        <f>C302&amp;"_"&amp;TEXT(N302,"yyyy-mm-dd")</f>
        <v/>
      </c>
      <c r="P302">
        <f>IFERROR(VLOOKUP(O302,Merchant_Day_Analysis!$A$5:$G$447,7,FALSE),"Not found")</f>
        <v/>
      </c>
    </row>
    <row r="303">
      <c r="A303" t="inlineStr">
        <is>
          <t>TXN100301</t>
        </is>
      </c>
      <c r="B303" t="n">
        <v>86</v>
      </c>
      <c r="C303" t="n">
        <v>29</v>
      </c>
      <c r="D303" s="6" t="n">
        <v>46042.93541666667</v>
      </c>
      <c r="E303" t="n">
        <v>149</v>
      </c>
      <c r="F303" t="inlineStr">
        <is>
          <t>Card</t>
        </is>
      </c>
      <c r="G303" t="inlineStr">
        <is>
          <t>captured</t>
        </is>
      </c>
      <c r="H303" t="n">
        <v>44</v>
      </c>
      <c r="I303">
        <f>IFERROR(VLOOKUP(C303,Merchants!$A$2:$D$41,2,FALSE),"Merchant not found")</f>
        <v/>
      </c>
      <c r="J303">
        <f>IFERROR(VLOOKUP(C303,Merchants!$A$2:$D$41,3,FALSE),"Merchant not found")</f>
        <v/>
      </c>
      <c r="K303">
        <f>IFERROR(VLOOKUP(C303,Merchants!$A$2:$D$41,4,FALSE),"Merchant not found")</f>
        <v/>
      </c>
      <c r="L303" s="4">
        <f>HLOOKUP(F303,Fee_Tiers!$B$2:$E$3,2,FALSE)</f>
        <v/>
      </c>
      <c r="M303">
        <f>E303*L303</f>
        <v/>
      </c>
      <c r="N303" s="5" t="n">
        <v>46042</v>
      </c>
      <c r="O303">
        <f>C303&amp;"_"&amp;TEXT(N303,"yyyy-mm-dd")</f>
        <v/>
      </c>
      <c r="P303">
        <f>IFERROR(VLOOKUP(O303,Merchant_Day_Analysis!$A$5:$G$447,7,FALSE),"Not found")</f>
        <v/>
      </c>
    </row>
    <row r="304">
      <c r="A304" t="inlineStr">
        <is>
          <t>TXN100302</t>
        </is>
      </c>
      <c r="B304" t="n">
        <v>181</v>
      </c>
      <c r="C304" t="n">
        <v>40</v>
      </c>
      <c r="D304" s="6" t="n">
        <v>46037.07361111111</v>
      </c>
      <c r="E304" t="n">
        <v>149</v>
      </c>
      <c r="F304" t="inlineStr">
        <is>
          <t>UPI</t>
        </is>
      </c>
      <c r="G304" t="inlineStr">
        <is>
          <t>captured</t>
        </is>
      </c>
      <c r="H304" t="n">
        <v>55</v>
      </c>
      <c r="I304">
        <f>IFERROR(VLOOKUP(C304,Merchants!$A$2:$D$41,2,FALSE),"Merchant not found")</f>
        <v/>
      </c>
      <c r="J304">
        <f>IFERROR(VLOOKUP(C304,Merchants!$A$2:$D$41,3,FALSE),"Merchant not found")</f>
        <v/>
      </c>
      <c r="K304">
        <f>IFERROR(VLOOKUP(C304,Merchants!$A$2:$D$41,4,FALSE),"Merchant not found")</f>
        <v/>
      </c>
      <c r="L304" s="4">
        <f>HLOOKUP(F304,Fee_Tiers!$B$2:$E$3,2,FALSE)</f>
        <v/>
      </c>
      <c r="M304">
        <f>E304*L304</f>
        <v/>
      </c>
      <c r="N304" s="5" t="n">
        <v>46037</v>
      </c>
      <c r="O304">
        <f>C304&amp;"_"&amp;TEXT(N304,"yyyy-mm-dd")</f>
        <v/>
      </c>
      <c r="P304">
        <f>IFERROR(VLOOKUP(O304,Merchant_Day_Analysis!$A$5:$G$447,7,FALSE),"Not found")</f>
        <v/>
      </c>
    </row>
    <row r="305">
      <c r="A305" t="inlineStr">
        <is>
          <t>TXN100303</t>
        </is>
      </c>
      <c r="B305" t="n">
        <v>30</v>
      </c>
      <c r="C305" t="n">
        <v>5</v>
      </c>
      <c r="D305" s="6" t="n">
        <v>46031.86805555555</v>
      </c>
      <c r="E305" t="n">
        <v>299</v>
      </c>
      <c r="F305" t="inlineStr">
        <is>
          <t>UPI</t>
        </is>
      </c>
      <c r="G305" t="inlineStr">
        <is>
          <t>captured</t>
        </is>
      </c>
      <c r="H305" t="n">
        <v>85</v>
      </c>
      <c r="I305">
        <f>IFERROR(VLOOKUP(C305,Merchants!$A$2:$D$41,2,FALSE),"Merchant not found")</f>
        <v/>
      </c>
      <c r="J305">
        <f>IFERROR(VLOOKUP(C305,Merchants!$A$2:$D$41,3,FALSE),"Merchant not found")</f>
        <v/>
      </c>
      <c r="K305">
        <f>IFERROR(VLOOKUP(C305,Merchants!$A$2:$D$41,4,FALSE),"Merchant not found")</f>
        <v/>
      </c>
      <c r="L305" s="4">
        <f>HLOOKUP(F305,Fee_Tiers!$B$2:$E$3,2,FALSE)</f>
        <v/>
      </c>
      <c r="M305">
        <f>E305*L305</f>
        <v/>
      </c>
      <c r="N305" s="5" t="n">
        <v>46031</v>
      </c>
      <c r="O305">
        <f>C305&amp;"_"&amp;TEXT(N305,"yyyy-mm-dd")</f>
        <v/>
      </c>
      <c r="P305">
        <f>IFERROR(VLOOKUP(O305,Merchant_Day_Analysis!$A$5:$G$447,7,FALSE),"Not found")</f>
        <v/>
      </c>
    </row>
    <row r="306">
      <c r="A306" t="inlineStr">
        <is>
          <t>TXN100304</t>
        </is>
      </c>
      <c r="B306" t="n">
        <v>263</v>
      </c>
      <c r="C306" t="n">
        <v>11</v>
      </c>
      <c r="D306" s="6" t="n">
        <v>46043.51597222222</v>
      </c>
      <c r="E306" t="n">
        <v>149</v>
      </c>
      <c r="F306" t="inlineStr">
        <is>
          <t>Wallet</t>
        </is>
      </c>
      <c r="G306" t="inlineStr">
        <is>
          <t>captured</t>
        </is>
      </c>
      <c r="H306" t="n">
        <v>3</v>
      </c>
      <c r="I306">
        <f>IFERROR(VLOOKUP(C306,Merchants!$A$2:$D$41,2,FALSE),"Merchant not found")</f>
        <v/>
      </c>
      <c r="J306">
        <f>IFERROR(VLOOKUP(C306,Merchants!$A$2:$D$41,3,FALSE),"Merchant not found")</f>
        <v/>
      </c>
      <c r="K306">
        <f>IFERROR(VLOOKUP(C306,Merchants!$A$2:$D$41,4,FALSE),"Merchant not found")</f>
        <v/>
      </c>
      <c r="L306" s="4">
        <f>HLOOKUP(F306,Fee_Tiers!$B$2:$E$3,2,FALSE)</f>
        <v/>
      </c>
      <c r="M306">
        <f>E306*L306</f>
        <v/>
      </c>
      <c r="N306" s="5" t="n">
        <v>46043</v>
      </c>
      <c r="O306">
        <f>C306&amp;"_"&amp;TEXT(N306,"yyyy-mm-dd")</f>
        <v/>
      </c>
      <c r="P306">
        <f>IFERROR(VLOOKUP(O306,Merchant_Day_Analysis!$A$5:$G$447,7,FALSE),"Not found")</f>
        <v/>
      </c>
    </row>
    <row r="307">
      <c r="A307" t="inlineStr">
        <is>
          <t>TXN100305</t>
        </is>
      </c>
      <c r="B307" t="n">
        <v>225</v>
      </c>
      <c r="C307" t="n">
        <v>3</v>
      </c>
      <c r="D307" s="6" t="n">
        <v>46027.82152777778</v>
      </c>
      <c r="E307" t="n">
        <v>99</v>
      </c>
      <c r="F307" t="inlineStr">
        <is>
          <t>Netbanking</t>
        </is>
      </c>
      <c r="G307" t="inlineStr">
        <is>
          <t>captured</t>
        </is>
      </c>
      <c r="H307" t="n">
        <v>16</v>
      </c>
      <c r="I307">
        <f>IFERROR(VLOOKUP(C307,Merchants!$A$2:$D$41,2,FALSE),"Merchant not found")</f>
        <v/>
      </c>
      <c r="J307">
        <f>IFERROR(VLOOKUP(C307,Merchants!$A$2:$D$41,3,FALSE),"Merchant not found")</f>
        <v/>
      </c>
      <c r="K307">
        <f>IFERROR(VLOOKUP(C307,Merchants!$A$2:$D$41,4,FALSE),"Merchant not found")</f>
        <v/>
      </c>
      <c r="L307" s="4">
        <f>HLOOKUP(F307,Fee_Tiers!$B$2:$E$3,2,FALSE)</f>
        <v/>
      </c>
      <c r="M307">
        <f>E307*L307</f>
        <v/>
      </c>
      <c r="N307" s="5" t="n">
        <v>46027</v>
      </c>
      <c r="O307">
        <f>C307&amp;"_"&amp;TEXT(N307,"yyyy-mm-dd")</f>
        <v/>
      </c>
      <c r="P307">
        <f>IFERROR(VLOOKUP(O307,Merchant_Day_Analysis!$A$5:$G$447,7,FALSE),"Not found")</f>
        <v/>
      </c>
    </row>
    <row r="308">
      <c r="A308" t="inlineStr">
        <is>
          <t>TXN100306</t>
        </is>
      </c>
      <c r="B308" t="n">
        <v>331</v>
      </c>
      <c r="C308" t="n">
        <v>24</v>
      </c>
      <c r="D308" s="6" t="n">
        <v>46025.32569444444</v>
      </c>
      <c r="E308" t="n">
        <v>49</v>
      </c>
      <c r="F308" t="inlineStr">
        <is>
          <t>Card</t>
        </is>
      </c>
      <c r="G308" t="inlineStr">
        <is>
          <t>captured</t>
        </is>
      </c>
      <c r="H308" t="n">
        <v>46</v>
      </c>
      <c r="I308">
        <f>IFERROR(VLOOKUP(C308,Merchants!$A$2:$D$41,2,FALSE),"Merchant not found")</f>
        <v/>
      </c>
      <c r="J308">
        <f>IFERROR(VLOOKUP(C308,Merchants!$A$2:$D$41,3,FALSE),"Merchant not found")</f>
        <v/>
      </c>
      <c r="K308">
        <f>IFERROR(VLOOKUP(C308,Merchants!$A$2:$D$41,4,FALSE),"Merchant not found")</f>
        <v/>
      </c>
      <c r="L308" s="4">
        <f>HLOOKUP(F308,Fee_Tiers!$B$2:$E$3,2,FALSE)</f>
        <v/>
      </c>
      <c r="M308">
        <f>E308*L308</f>
        <v/>
      </c>
      <c r="N308" s="5" t="n">
        <v>46025</v>
      </c>
      <c r="O308">
        <f>C308&amp;"_"&amp;TEXT(N308,"yyyy-mm-dd")</f>
        <v/>
      </c>
      <c r="P308">
        <f>IFERROR(VLOOKUP(O308,Merchant_Day_Analysis!$A$5:$G$447,7,FALSE),"Not found")</f>
        <v/>
      </c>
    </row>
    <row r="309">
      <c r="A309" t="inlineStr">
        <is>
          <t>TXN100307</t>
        </is>
      </c>
      <c r="B309" t="n">
        <v>310</v>
      </c>
      <c r="C309" t="n">
        <v>10</v>
      </c>
      <c r="D309" s="6" t="n">
        <v>46035.75138888889</v>
      </c>
      <c r="E309" t="n">
        <v>1499</v>
      </c>
      <c r="F309" t="inlineStr">
        <is>
          <t>Card</t>
        </is>
      </c>
      <c r="G309" t="inlineStr">
        <is>
          <t>captured</t>
        </is>
      </c>
      <c r="H309" t="n">
        <v>86</v>
      </c>
      <c r="I309">
        <f>IFERROR(VLOOKUP(C309,Merchants!$A$2:$D$41,2,FALSE),"Merchant not found")</f>
        <v/>
      </c>
      <c r="J309">
        <f>IFERROR(VLOOKUP(C309,Merchants!$A$2:$D$41,3,FALSE),"Merchant not found")</f>
        <v/>
      </c>
      <c r="K309">
        <f>IFERROR(VLOOKUP(C309,Merchants!$A$2:$D$41,4,FALSE),"Merchant not found")</f>
        <v/>
      </c>
      <c r="L309" s="4">
        <f>HLOOKUP(F309,Fee_Tiers!$B$2:$E$3,2,FALSE)</f>
        <v/>
      </c>
      <c r="M309">
        <f>E309*L309</f>
        <v/>
      </c>
      <c r="N309" s="5" t="n">
        <v>46035</v>
      </c>
      <c r="O309">
        <f>C309&amp;"_"&amp;TEXT(N309,"yyyy-mm-dd")</f>
        <v/>
      </c>
      <c r="P309">
        <f>IFERROR(VLOOKUP(O309,Merchant_Day_Analysis!$A$5:$G$447,7,FALSE),"Not found")</f>
        <v/>
      </c>
    </row>
    <row r="310">
      <c r="A310" t="inlineStr">
        <is>
          <t>TXN100308</t>
        </is>
      </c>
      <c r="B310" t="n">
        <v>228</v>
      </c>
      <c r="C310" t="n">
        <v>5</v>
      </c>
      <c r="D310" s="6" t="n">
        <v>46037.47430555556</v>
      </c>
      <c r="E310" t="n">
        <v>49</v>
      </c>
      <c r="F310" t="inlineStr">
        <is>
          <t>UPI</t>
        </is>
      </c>
      <c r="G310" t="inlineStr">
        <is>
          <t>captured</t>
        </is>
      </c>
      <c r="H310" t="n">
        <v>73</v>
      </c>
      <c r="I310">
        <f>IFERROR(VLOOKUP(C310,Merchants!$A$2:$D$41,2,FALSE),"Merchant not found")</f>
        <v/>
      </c>
      <c r="J310">
        <f>IFERROR(VLOOKUP(C310,Merchants!$A$2:$D$41,3,FALSE),"Merchant not found")</f>
        <v/>
      </c>
      <c r="K310">
        <f>IFERROR(VLOOKUP(C310,Merchants!$A$2:$D$41,4,FALSE),"Merchant not found")</f>
        <v/>
      </c>
      <c r="L310" s="4">
        <f>HLOOKUP(F310,Fee_Tiers!$B$2:$E$3,2,FALSE)</f>
        <v/>
      </c>
      <c r="M310">
        <f>E310*L310</f>
        <v/>
      </c>
      <c r="N310" s="5" t="n">
        <v>46037</v>
      </c>
      <c r="O310">
        <f>C310&amp;"_"&amp;TEXT(N310,"yyyy-mm-dd")</f>
        <v/>
      </c>
      <c r="P310">
        <f>IFERROR(VLOOKUP(O310,Merchant_Day_Analysis!$A$5:$G$447,7,FALSE),"Not found")</f>
        <v/>
      </c>
    </row>
    <row r="311">
      <c r="A311" t="inlineStr">
        <is>
          <t>TXN100309</t>
        </is>
      </c>
      <c r="B311" t="n">
        <v>204</v>
      </c>
      <c r="C311" t="n">
        <v>21</v>
      </c>
      <c r="D311" s="6" t="n">
        <v>46027.68263888889</v>
      </c>
      <c r="E311" t="n">
        <v>499</v>
      </c>
      <c r="F311" t="inlineStr">
        <is>
          <t>UPI</t>
        </is>
      </c>
      <c r="G311" t="inlineStr">
        <is>
          <t>captured</t>
        </is>
      </c>
      <c r="H311" t="n">
        <v>83</v>
      </c>
      <c r="I311">
        <f>IFERROR(VLOOKUP(C311,Merchants!$A$2:$D$41,2,FALSE),"Merchant not found")</f>
        <v/>
      </c>
      <c r="J311">
        <f>IFERROR(VLOOKUP(C311,Merchants!$A$2:$D$41,3,FALSE),"Merchant not found")</f>
        <v/>
      </c>
      <c r="K311">
        <f>IFERROR(VLOOKUP(C311,Merchants!$A$2:$D$41,4,FALSE),"Merchant not found")</f>
        <v/>
      </c>
      <c r="L311" s="4">
        <f>HLOOKUP(F311,Fee_Tiers!$B$2:$E$3,2,FALSE)</f>
        <v/>
      </c>
      <c r="M311">
        <f>E311*L311</f>
        <v/>
      </c>
      <c r="N311" s="5" t="n">
        <v>46027</v>
      </c>
      <c r="O311">
        <f>C311&amp;"_"&amp;TEXT(N311,"yyyy-mm-dd")</f>
        <v/>
      </c>
      <c r="P311">
        <f>IFERROR(VLOOKUP(O311,Merchant_Day_Analysis!$A$5:$G$447,7,FALSE),"Not found")</f>
        <v/>
      </c>
    </row>
    <row r="312">
      <c r="A312" t="inlineStr">
        <is>
          <t>TXN100310</t>
        </is>
      </c>
      <c r="B312" t="n">
        <v>14</v>
      </c>
      <c r="C312" t="n">
        <v>12</v>
      </c>
      <c r="D312" s="6" t="n">
        <v>46031.29652777778</v>
      </c>
      <c r="E312" t="n">
        <v>799</v>
      </c>
      <c r="F312" t="inlineStr">
        <is>
          <t>Netbanking</t>
        </is>
      </c>
      <c r="G312" t="inlineStr">
        <is>
          <t>captured</t>
        </is>
      </c>
      <c r="H312" t="n">
        <v>63</v>
      </c>
      <c r="I312">
        <f>IFERROR(VLOOKUP(C312,Merchants!$A$2:$D$41,2,FALSE),"Merchant not found")</f>
        <v/>
      </c>
      <c r="J312">
        <f>IFERROR(VLOOKUP(C312,Merchants!$A$2:$D$41,3,FALSE),"Merchant not found")</f>
        <v/>
      </c>
      <c r="K312">
        <f>IFERROR(VLOOKUP(C312,Merchants!$A$2:$D$41,4,FALSE),"Merchant not found")</f>
        <v/>
      </c>
      <c r="L312" s="4">
        <f>HLOOKUP(F312,Fee_Tiers!$B$2:$E$3,2,FALSE)</f>
        <v/>
      </c>
      <c r="M312">
        <f>E312*L312</f>
        <v/>
      </c>
      <c r="N312" s="5" t="n">
        <v>46031</v>
      </c>
      <c r="O312">
        <f>C312&amp;"_"&amp;TEXT(N312,"yyyy-mm-dd")</f>
        <v/>
      </c>
      <c r="P312">
        <f>IFERROR(VLOOKUP(O312,Merchant_Day_Analysis!$A$5:$G$447,7,FALSE),"Not found")</f>
        <v/>
      </c>
    </row>
    <row r="313">
      <c r="A313" t="inlineStr">
        <is>
          <t>TXN100311</t>
        </is>
      </c>
      <c r="B313" t="n">
        <v>288</v>
      </c>
      <c r="C313" t="n">
        <v>8</v>
      </c>
      <c r="D313" s="6" t="n">
        <v>46039.54027777778</v>
      </c>
      <c r="E313" t="n">
        <v>49</v>
      </c>
      <c r="F313" t="inlineStr">
        <is>
          <t>UPI</t>
        </is>
      </c>
      <c r="G313" t="inlineStr">
        <is>
          <t>captured</t>
        </is>
      </c>
      <c r="H313" t="n">
        <v>33</v>
      </c>
      <c r="I313">
        <f>IFERROR(VLOOKUP(C313,Merchants!$A$2:$D$41,2,FALSE),"Merchant not found")</f>
        <v/>
      </c>
      <c r="J313">
        <f>IFERROR(VLOOKUP(C313,Merchants!$A$2:$D$41,3,FALSE),"Merchant not found")</f>
        <v/>
      </c>
      <c r="K313">
        <f>IFERROR(VLOOKUP(C313,Merchants!$A$2:$D$41,4,FALSE),"Merchant not found")</f>
        <v/>
      </c>
      <c r="L313" s="4">
        <f>HLOOKUP(F313,Fee_Tiers!$B$2:$E$3,2,FALSE)</f>
        <v/>
      </c>
      <c r="M313">
        <f>E313*L313</f>
        <v/>
      </c>
      <c r="N313" s="5" t="n">
        <v>46039</v>
      </c>
      <c r="O313">
        <f>C313&amp;"_"&amp;TEXT(N313,"yyyy-mm-dd")</f>
        <v/>
      </c>
      <c r="P313">
        <f>IFERROR(VLOOKUP(O313,Merchant_Day_Analysis!$A$5:$G$447,7,FALSE),"Not found")</f>
        <v/>
      </c>
    </row>
    <row r="314">
      <c r="A314" t="inlineStr">
        <is>
          <t>TXN100312</t>
        </is>
      </c>
      <c r="B314" t="n">
        <v>229</v>
      </c>
      <c r="C314" t="n">
        <v>14</v>
      </c>
      <c r="D314" s="6" t="n">
        <v>46047.36458333334</v>
      </c>
      <c r="E314" t="n">
        <v>1499</v>
      </c>
      <c r="F314" t="inlineStr">
        <is>
          <t>UPI</t>
        </is>
      </c>
      <c r="G314" t="inlineStr">
        <is>
          <t>captured</t>
        </is>
      </c>
      <c r="H314" t="n">
        <v>78</v>
      </c>
      <c r="I314">
        <f>IFERROR(VLOOKUP(C314,Merchants!$A$2:$D$41,2,FALSE),"Merchant not found")</f>
        <v/>
      </c>
      <c r="J314">
        <f>IFERROR(VLOOKUP(C314,Merchants!$A$2:$D$41,3,FALSE),"Merchant not found")</f>
        <v/>
      </c>
      <c r="K314">
        <f>IFERROR(VLOOKUP(C314,Merchants!$A$2:$D$41,4,FALSE),"Merchant not found")</f>
        <v/>
      </c>
      <c r="L314" s="4">
        <f>HLOOKUP(F314,Fee_Tiers!$B$2:$E$3,2,FALSE)</f>
        <v/>
      </c>
      <c r="M314">
        <f>E314*L314</f>
        <v/>
      </c>
      <c r="N314" s="5" t="n">
        <v>46047</v>
      </c>
      <c r="O314">
        <f>C314&amp;"_"&amp;TEXT(N314,"yyyy-mm-dd")</f>
        <v/>
      </c>
      <c r="P314">
        <f>IFERROR(VLOOKUP(O314,Merchant_Day_Analysis!$A$5:$G$447,7,FALSE),"Not found")</f>
        <v/>
      </c>
    </row>
    <row r="315">
      <c r="A315" t="inlineStr">
        <is>
          <t>TXN100313</t>
        </is>
      </c>
      <c r="B315" t="n">
        <v>252</v>
      </c>
      <c r="C315" t="n">
        <v>13</v>
      </c>
      <c r="D315" s="6" t="n">
        <v>46032.95694444444</v>
      </c>
      <c r="E315" t="n">
        <v>99</v>
      </c>
      <c r="F315" t="inlineStr">
        <is>
          <t>Wallet</t>
        </is>
      </c>
      <c r="G315" t="inlineStr">
        <is>
          <t>captured</t>
        </is>
      </c>
      <c r="H315" t="n">
        <v>15</v>
      </c>
      <c r="I315">
        <f>IFERROR(VLOOKUP(C315,Merchants!$A$2:$D$41,2,FALSE),"Merchant not found")</f>
        <v/>
      </c>
      <c r="J315">
        <f>IFERROR(VLOOKUP(C315,Merchants!$A$2:$D$41,3,FALSE),"Merchant not found")</f>
        <v/>
      </c>
      <c r="K315">
        <f>IFERROR(VLOOKUP(C315,Merchants!$A$2:$D$41,4,FALSE),"Merchant not found")</f>
        <v/>
      </c>
      <c r="L315" s="4">
        <f>HLOOKUP(F315,Fee_Tiers!$B$2:$E$3,2,FALSE)</f>
        <v/>
      </c>
      <c r="M315">
        <f>E315*L315</f>
        <v/>
      </c>
      <c r="N315" s="5" t="n">
        <v>46032</v>
      </c>
      <c r="O315">
        <f>C315&amp;"_"&amp;TEXT(N315,"yyyy-mm-dd")</f>
        <v/>
      </c>
      <c r="P315">
        <f>IFERROR(VLOOKUP(O315,Merchant_Day_Analysis!$A$5:$G$447,7,FALSE),"Not found")</f>
        <v/>
      </c>
    </row>
    <row r="316">
      <c r="A316" t="inlineStr">
        <is>
          <t>TXN100314</t>
        </is>
      </c>
      <c r="B316" t="n">
        <v>89</v>
      </c>
      <c r="C316" t="n">
        <v>29</v>
      </c>
      <c r="D316" s="6" t="n">
        <v>46027.10277777778</v>
      </c>
      <c r="E316" t="n">
        <v>799</v>
      </c>
      <c r="F316" t="inlineStr">
        <is>
          <t>UPI</t>
        </is>
      </c>
      <c r="G316" t="inlineStr">
        <is>
          <t>captured</t>
        </is>
      </c>
      <c r="H316" t="n">
        <v>11</v>
      </c>
      <c r="I316">
        <f>IFERROR(VLOOKUP(C316,Merchants!$A$2:$D$41,2,FALSE),"Merchant not found")</f>
        <v/>
      </c>
      <c r="J316">
        <f>IFERROR(VLOOKUP(C316,Merchants!$A$2:$D$41,3,FALSE),"Merchant not found")</f>
        <v/>
      </c>
      <c r="K316">
        <f>IFERROR(VLOOKUP(C316,Merchants!$A$2:$D$41,4,FALSE),"Merchant not found")</f>
        <v/>
      </c>
      <c r="L316" s="4">
        <f>HLOOKUP(F316,Fee_Tiers!$B$2:$E$3,2,FALSE)</f>
        <v/>
      </c>
      <c r="M316">
        <f>E316*L316</f>
        <v/>
      </c>
      <c r="N316" s="5" t="n">
        <v>46027</v>
      </c>
      <c r="O316">
        <f>C316&amp;"_"&amp;TEXT(N316,"yyyy-mm-dd")</f>
        <v/>
      </c>
      <c r="P316">
        <f>IFERROR(VLOOKUP(O316,Merchant_Day_Analysis!$A$5:$G$447,7,FALSE),"Not found")</f>
        <v/>
      </c>
    </row>
    <row r="317">
      <c r="A317" t="inlineStr">
        <is>
          <t>TXN100315</t>
        </is>
      </c>
      <c r="B317" t="n">
        <v>164</v>
      </c>
      <c r="C317" t="n">
        <v>23</v>
      </c>
      <c r="D317" s="6" t="n">
        <v>46048.9125</v>
      </c>
      <c r="E317" t="n">
        <v>49</v>
      </c>
      <c r="F317" t="inlineStr">
        <is>
          <t>Netbanking</t>
        </is>
      </c>
      <c r="G317" t="inlineStr">
        <is>
          <t>captured</t>
        </is>
      </c>
      <c r="H317" t="n">
        <v>90</v>
      </c>
      <c r="I317">
        <f>IFERROR(VLOOKUP(C317,Merchants!$A$2:$D$41,2,FALSE),"Merchant not found")</f>
        <v/>
      </c>
      <c r="J317">
        <f>IFERROR(VLOOKUP(C317,Merchants!$A$2:$D$41,3,FALSE),"Merchant not found")</f>
        <v/>
      </c>
      <c r="K317">
        <f>IFERROR(VLOOKUP(C317,Merchants!$A$2:$D$41,4,FALSE),"Merchant not found")</f>
        <v/>
      </c>
      <c r="L317" s="4">
        <f>HLOOKUP(F317,Fee_Tiers!$B$2:$E$3,2,FALSE)</f>
        <v/>
      </c>
      <c r="M317">
        <f>E317*L317</f>
        <v/>
      </c>
      <c r="N317" s="5" t="n">
        <v>46048</v>
      </c>
      <c r="O317">
        <f>C317&amp;"_"&amp;TEXT(N317,"yyyy-mm-dd")</f>
        <v/>
      </c>
      <c r="P317">
        <f>IFERROR(VLOOKUP(O317,Merchant_Day_Analysis!$A$5:$G$447,7,FALSE),"Not found")</f>
        <v/>
      </c>
    </row>
    <row r="318">
      <c r="A318" t="inlineStr">
        <is>
          <t>TXN100316</t>
        </is>
      </c>
      <c r="B318" t="n">
        <v>149</v>
      </c>
      <c r="C318" t="n">
        <v>20</v>
      </c>
      <c r="D318" s="6" t="n">
        <v>46025.73194444444</v>
      </c>
      <c r="E318" t="n">
        <v>299</v>
      </c>
      <c r="F318" t="inlineStr">
        <is>
          <t>Wallet</t>
        </is>
      </c>
      <c r="G318" t="inlineStr">
        <is>
          <t>captured</t>
        </is>
      </c>
      <c r="H318" t="n">
        <v>20</v>
      </c>
      <c r="I318">
        <f>IFERROR(VLOOKUP(C318,Merchants!$A$2:$D$41,2,FALSE),"Merchant not found")</f>
        <v/>
      </c>
      <c r="J318">
        <f>IFERROR(VLOOKUP(C318,Merchants!$A$2:$D$41,3,FALSE),"Merchant not found")</f>
        <v/>
      </c>
      <c r="K318">
        <f>IFERROR(VLOOKUP(C318,Merchants!$A$2:$D$41,4,FALSE),"Merchant not found")</f>
        <v/>
      </c>
      <c r="L318" s="4">
        <f>HLOOKUP(F318,Fee_Tiers!$B$2:$E$3,2,FALSE)</f>
        <v/>
      </c>
      <c r="M318">
        <f>E318*L318</f>
        <v/>
      </c>
      <c r="N318" s="5" t="n">
        <v>46025</v>
      </c>
      <c r="O318">
        <f>C318&amp;"_"&amp;TEXT(N318,"yyyy-mm-dd")</f>
        <v/>
      </c>
      <c r="P318">
        <f>IFERROR(VLOOKUP(O318,Merchant_Day_Analysis!$A$5:$G$447,7,FALSE),"Not found")</f>
        <v/>
      </c>
    </row>
    <row r="319">
      <c r="A319" t="inlineStr">
        <is>
          <t>TXN100317</t>
        </is>
      </c>
      <c r="B319" t="n">
        <v>327</v>
      </c>
      <c r="C319" t="n">
        <v>12</v>
      </c>
      <c r="D319" s="6" t="n">
        <v>46045.95763888889</v>
      </c>
      <c r="E319" t="n">
        <v>49</v>
      </c>
      <c r="F319" t="inlineStr">
        <is>
          <t>Netbanking</t>
        </is>
      </c>
      <c r="G319" t="inlineStr">
        <is>
          <t>captured</t>
        </is>
      </c>
      <c r="H319" t="n">
        <v>46</v>
      </c>
      <c r="I319">
        <f>IFERROR(VLOOKUP(C319,Merchants!$A$2:$D$41,2,FALSE),"Merchant not found")</f>
        <v/>
      </c>
      <c r="J319">
        <f>IFERROR(VLOOKUP(C319,Merchants!$A$2:$D$41,3,FALSE),"Merchant not found")</f>
        <v/>
      </c>
      <c r="K319">
        <f>IFERROR(VLOOKUP(C319,Merchants!$A$2:$D$41,4,FALSE),"Merchant not found")</f>
        <v/>
      </c>
      <c r="L319" s="4">
        <f>HLOOKUP(F319,Fee_Tiers!$B$2:$E$3,2,FALSE)</f>
        <v/>
      </c>
      <c r="M319">
        <f>E319*L319</f>
        <v/>
      </c>
      <c r="N319" s="5" t="n">
        <v>46045</v>
      </c>
      <c r="O319">
        <f>C319&amp;"_"&amp;TEXT(N319,"yyyy-mm-dd")</f>
        <v/>
      </c>
      <c r="P319">
        <f>IFERROR(VLOOKUP(O319,Merchant_Day_Analysis!$A$5:$G$447,7,FALSE),"Not found")</f>
        <v/>
      </c>
    </row>
    <row r="320">
      <c r="A320" t="inlineStr">
        <is>
          <t>TXN100318</t>
        </is>
      </c>
      <c r="B320" t="n">
        <v>103</v>
      </c>
      <c r="C320" t="n">
        <v>9</v>
      </c>
      <c r="D320" s="6" t="n">
        <v>46039.29652777778</v>
      </c>
      <c r="E320" t="n">
        <v>149</v>
      </c>
      <c r="F320" t="inlineStr">
        <is>
          <t>UPI</t>
        </is>
      </c>
      <c r="G320" t="inlineStr">
        <is>
          <t>captured</t>
        </is>
      </c>
      <c r="H320" t="n">
        <v>30</v>
      </c>
      <c r="I320">
        <f>IFERROR(VLOOKUP(C320,Merchants!$A$2:$D$41,2,FALSE),"Merchant not found")</f>
        <v/>
      </c>
      <c r="J320">
        <f>IFERROR(VLOOKUP(C320,Merchants!$A$2:$D$41,3,FALSE),"Merchant not found")</f>
        <v/>
      </c>
      <c r="K320">
        <f>IFERROR(VLOOKUP(C320,Merchants!$A$2:$D$41,4,FALSE),"Merchant not found")</f>
        <v/>
      </c>
      <c r="L320" s="4">
        <f>HLOOKUP(F320,Fee_Tiers!$B$2:$E$3,2,FALSE)</f>
        <v/>
      </c>
      <c r="M320">
        <f>E320*L320</f>
        <v/>
      </c>
      <c r="N320" s="5" t="n">
        <v>46039</v>
      </c>
      <c r="O320">
        <f>C320&amp;"_"&amp;TEXT(N320,"yyyy-mm-dd")</f>
        <v/>
      </c>
      <c r="P320">
        <f>IFERROR(VLOOKUP(O320,Merchant_Day_Analysis!$A$5:$G$447,7,FALSE),"Not found")</f>
        <v/>
      </c>
    </row>
    <row r="321">
      <c r="A321" t="inlineStr">
        <is>
          <t>TXN100319</t>
        </is>
      </c>
      <c r="B321" t="n">
        <v>185</v>
      </c>
      <c r="C321" t="n">
        <v>36</v>
      </c>
      <c r="D321" s="6" t="n">
        <v>46048.62569444445</v>
      </c>
      <c r="E321" t="n">
        <v>49</v>
      </c>
      <c r="F321" t="inlineStr">
        <is>
          <t>Wallet</t>
        </is>
      </c>
      <c r="G321" t="inlineStr">
        <is>
          <t>captured</t>
        </is>
      </c>
      <c r="H321" t="n">
        <v>73</v>
      </c>
      <c r="I321">
        <f>IFERROR(VLOOKUP(C321,Merchants!$A$2:$D$41,2,FALSE),"Merchant not found")</f>
        <v/>
      </c>
      <c r="J321">
        <f>IFERROR(VLOOKUP(C321,Merchants!$A$2:$D$41,3,FALSE),"Merchant not found")</f>
        <v/>
      </c>
      <c r="K321">
        <f>IFERROR(VLOOKUP(C321,Merchants!$A$2:$D$41,4,FALSE),"Merchant not found")</f>
        <v/>
      </c>
      <c r="L321" s="4">
        <f>HLOOKUP(F321,Fee_Tiers!$B$2:$E$3,2,FALSE)</f>
        <v/>
      </c>
      <c r="M321">
        <f>E321*L321</f>
        <v/>
      </c>
      <c r="N321" s="5" t="n">
        <v>46048</v>
      </c>
      <c r="O321">
        <f>C321&amp;"_"&amp;TEXT(N321,"yyyy-mm-dd")</f>
        <v/>
      </c>
      <c r="P321">
        <f>IFERROR(VLOOKUP(O321,Merchant_Day_Analysis!$A$5:$G$447,7,FALSE),"Not found")</f>
        <v/>
      </c>
    </row>
    <row r="322">
      <c r="A322" t="inlineStr">
        <is>
          <t>TXN100320</t>
        </is>
      </c>
      <c r="B322" t="n">
        <v>283</v>
      </c>
      <c r="C322" t="n">
        <v>9</v>
      </c>
      <c r="D322" s="6" t="n">
        <v>46034.61875</v>
      </c>
      <c r="E322" t="n">
        <v>299</v>
      </c>
      <c r="F322" t="inlineStr">
        <is>
          <t>UPI</t>
        </is>
      </c>
      <c r="G322" t="inlineStr">
        <is>
          <t>captured</t>
        </is>
      </c>
      <c r="H322" t="n">
        <v>78</v>
      </c>
      <c r="I322">
        <f>IFERROR(VLOOKUP(C322,Merchants!$A$2:$D$41,2,FALSE),"Merchant not found")</f>
        <v/>
      </c>
      <c r="J322">
        <f>IFERROR(VLOOKUP(C322,Merchants!$A$2:$D$41,3,FALSE),"Merchant not found")</f>
        <v/>
      </c>
      <c r="K322">
        <f>IFERROR(VLOOKUP(C322,Merchants!$A$2:$D$41,4,FALSE),"Merchant not found")</f>
        <v/>
      </c>
      <c r="L322" s="4">
        <f>HLOOKUP(F322,Fee_Tiers!$B$2:$E$3,2,FALSE)</f>
        <v/>
      </c>
      <c r="M322">
        <f>E322*L322</f>
        <v/>
      </c>
      <c r="N322" s="5" t="n">
        <v>46034</v>
      </c>
      <c r="O322">
        <f>C322&amp;"_"&amp;TEXT(N322,"yyyy-mm-dd")</f>
        <v/>
      </c>
      <c r="P322">
        <f>IFERROR(VLOOKUP(O322,Merchant_Day_Analysis!$A$5:$G$447,7,FALSE),"Not found")</f>
        <v/>
      </c>
    </row>
    <row r="323">
      <c r="A323" t="inlineStr">
        <is>
          <t>TXN100321</t>
        </is>
      </c>
      <c r="B323" t="n">
        <v>159</v>
      </c>
      <c r="C323" t="n">
        <v>26</v>
      </c>
      <c r="D323" s="6" t="n">
        <v>46051.08611111111</v>
      </c>
      <c r="E323" t="n">
        <v>99</v>
      </c>
      <c r="F323" t="inlineStr">
        <is>
          <t>UPI</t>
        </is>
      </c>
      <c r="G323" t="inlineStr">
        <is>
          <t>captured</t>
        </is>
      </c>
      <c r="H323" t="n">
        <v>91</v>
      </c>
      <c r="I323">
        <f>IFERROR(VLOOKUP(C323,Merchants!$A$2:$D$41,2,FALSE),"Merchant not found")</f>
        <v/>
      </c>
      <c r="J323">
        <f>IFERROR(VLOOKUP(C323,Merchants!$A$2:$D$41,3,FALSE),"Merchant not found")</f>
        <v/>
      </c>
      <c r="K323">
        <f>IFERROR(VLOOKUP(C323,Merchants!$A$2:$D$41,4,FALSE),"Merchant not found")</f>
        <v/>
      </c>
      <c r="L323" s="4">
        <f>HLOOKUP(F323,Fee_Tiers!$B$2:$E$3,2,FALSE)</f>
        <v/>
      </c>
      <c r="M323">
        <f>E323*L323</f>
        <v/>
      </c>
      <c r="N323" s="5" t="n">
        <v>46051</v>
      </c>
      <c r="O323">
        <f>C323&amp;"_"&amp;TEXT(N323,"yyyy-mm-dd")</f>
        <v/>
      </c>
      <c r="P323">
        <f>IFERROR(VLOOKUP(O323,Merchant_Day_Analysis!$A$5:$G$447,7,FALSE),"Not found")</f>
        <v/>
      </c>
    </row>
    <row r="324">
      <c r="A324" t="inlineStr">
        <is>
          <t>TXN100322</t>
        </is>
      </c>
      <c r="B324" t="n">
        <v>211</v>
      </c>
      <c r="C324" t="n">
        <v>27</v>
      </c>
      <c r="D324" s="6" t="n">
        <v>46046.64791666667</v>
      </c>
      <c r="E324" t="n">
        <v>99</v>
      </c>
      <c r="F324" t="inlineStr">
        <is>
          <t>Wallet</t>
        </is>
      </c>
      <c r="G324" t="inlineStr">
        <is>
          <t>captured</t>
        </is>
      </c>
      <c r="H324" t="n">
        <v>73</v>
      </c>
      <c r="I324">
        <f>IFERROR(VLOOKUP(C324,Merchants!$A$2:$D$41,2,FALSE),"Merchant not found")</f>
        <v/>
      </c>
      <c r="J324">
        <f>IFERROR(VLOOKUP(C324,Merchants!$A$2:$D$41,3,FALSE),"Merchant not found")</f>
        <v/>
      </c>
      <c r="K324">
        <f>IFERROR(VLOOKUP(C324,Merchants!$A$2:$D$41,4,FALSE),"Merchant not found")</f>
        <v/>
      </c>
      <c r="L324" s="4">
        <f>HLOOKUP(F324,Fee_Tiers!$B$2:$E$3,2,FALSE)</f>
        <v/>
      </c>
      <c r="M324">
        <f>E324*L324</f>
        <v/>
      </c>
      <c r="N324" s="5" t="n">
        <v>46046</v>
      </c>
      <c r="O324">
        <f>C324&amp;"_"&amp;TEXT(N324,"yyyy-mm-dd")</f>
        <v/>
      </c>
      <c r="P324">
        <f>IFERROR(VLOOKUP(O324,Merchant_Day_Analysis!$A$5:$G$447,7,FALSE),"Not found")</f>
        <v/>
      </c>
    </row>
    <row r="325">
      <c r="A325" t="inlineStr">
        <is>
          <t>TXN100323</t>
        </is>
      </c>
      <c r="B325" t="n">
        <v>329</v>
      </c>
      <c r="C325" t="n">
        <v>5</v>
      </c>
      <c r="D325" s="6" t="n">
        <v>46025.18055555555</v>
      </c>
      <c r="E325" t="n">
        <v>499</v>
      </c>
      <c r="F325" t="inlineStr">
        <is>
          <t>Netbanking</t>
        </is>
      </c>
      <c r="G325" t="inlineStr">
        <is>
          <t>captured</t>
        </is>
      </c>
      <c r="H325" t="n">
        <v>57</v>
      </c>
      <c r="I325">
        <f>IFERROR(VLOOKUP(C325,Merchants!$A$2:$D$41,2,FALSE),"Merchant not found")</f>
        <v/>
      </c>
      <c r="J325">
        <f>IFERROR(VLOOKUP(C325,Merchants!$A$2:$D$41,3,FALSE),"Merchant not found")</f>
        <v/>
      </c>
      <c r="K325">
        <f>IFERROR(VLOOKUP(C325,Merchants!$A$2:$D$41,4,FALSE),"Merchant not found")</f>
        <v/>
      </c>
      <c r="L325" s="4">
        <f>HLOOKUP(F325,Fee_Tiers!$B$2:$E$3,2,FALSE)</f>
        <v/>
      </c>
      <c r="M325">
        <f>E325*L325</f>
        <v/>
      </c>
      <c r="N325" s="5" t="n">
        <v>46025</v>
      </c>
      <c r="O325">
        <f>C325&amp;"_"&amp;TEXT(N325,"yyyy-mm-dd")</f>
        <v/>
      </c>
      <c r="P325">
        <f>IFERROR(VLOOKUP(O325,Merchant_Day_Analysis!$A$5:$G$447,7,FALSE),"Not found")</f>
        <v/>
      </c>
    </row>
    <row r="326">
      <c r="A326" t="inlineStr">
        <is>
          <t>TXN100324</t>
        </is>
      </c>
      <c r="B326" t="n">
        <v>177</v>
      </c>
      <c r="C326" t="n">
        <v>9</v>
      </c>
      <c r="D326" s="6" t="n">
        <v>46037.89791666667</v>
      </c>
      <c r="E326" t="n">
        <v>99</v>
      </c>
      <c r="F326" t="inlineStr">
        <is>
          <t>UPI</t>
        </is>
      </c>
      <c r="G326" t="inlineStr">
        <is>
          <t>captured</t>
        </is>
      </c>
      <c r="H326" t="n">
        <v>99</v>
      </c>
      <c r="I326">
        <f>IFERROR(VLOOKUP(C326,Merchants!$A$2:$D$41,2,FALSE),"Merchant not found")</f>
        <v/>
      </c>
      <c r="J326">
        <f>IFERROR(VLOOKUP(C326,Merchants!$A$2:$D$41,3,FALSE),"Merchant not found")</f>
        <v/>
      </c>
      <c r="K326">
        <f>IFERROR(VLOOKUP(C326,Merchants!$A$2:$D$41,4,FALSE),"Merchant not found")</f>
        <v/>
      </c>
      <c r="L326" s="4">
        <f>HLOOKUP(F326,Fee_Tiers!$B$2:$E$3,2,FALSE)</f>
        <v/>
      </c>
      <c r="M326">
        <f>E326*L326</f>
        <v/>
      </c>
      <c r="N326" s="5" t="n">
        <v>46037</v>
      </c>
      <c r="O326">
        <f>C326&amp;"_"&amp;TEXT(N326,"yyyy-mm-dd")</f>
        <v/>
      </c>
      <c r="P326">
        <f>IFERROR(VLOOKUP(O326,Merchant_Day_Analysis!$A$5:$G$447,7,FALSE),"Not found")</f>
        <v/>
      </c>
    </row>
    <row r="327">
      <c r="A327" t="inlineStr">
        <is>
          <t>TXN100325</t>
        </is>
      </c>
      <c r="B327" t="n">
        <v>94</v>
      </c>
      <c r="C327" t="n">
        <v>9</v>
      </c>
      <c r="D327" s="6" t="n">
        <v>46040.85902777778</v>
      </c>
      <c r="E327" t="n">
        <v>299</v>
      </c>
      <c r="F327" t="inlineStr">
        <is>
          <t>UPI</t>
        </is>
      </c>
      <c r="G327" t="inlineStr">
        <is>
          <t>captured</t>
        </is>
      </c>
      <c r="H327" t="n">
        <v>55</v>
      </c>
      <c r="I327">
        <f>IFERROR(VLOOKUP(C327,Merchants!$A$2:$D$41,2,FALSE),"Merchant not found")</f>
        <v/>
      </c>
      <c r="J327">
        <f>IFERROR(VLOOKUP(C327,Merchants!$A$2:$D$41,3,FALSE),"Merchant not found")</f>
        <v/>
      </c>
      <c r="K327">
        <f>IFERROR(VLOOKUP(C327,Merchants!$A$2:$D$41,4,FALSE),"Merchant not found")</f>
        <v/>
      </c>
      <c r="L327" s="4">
        <f>HLOOKUP(F327,Fee_Tiers!$B$2:$E$3,2,FALSE)</f>
        <v/>
      </c>
      <c r="M327">
        <f>E327*L327</f>
        <v/>
      </c>
      <c r="N327" s="5" t="n">
        <v>46040</v>
      </c>
      <c r="O327">
        <f>C327&amp;"_"&amp;TEXT(N327,"yyyy-mm-dd")</f>
        <v/>
      </c>
      <c r="P327">
        <f>IFERROR(VLOOKUP(O327,Merchant_Day_Analysis!$A$5:$G$447,7,FALSE),"Not found")</f>
        <v/>
      </c>
    </row>
    <row r="328">
      <c r="A328" t="inlineStr">
        <is>
          <t>TXN100326</t>
        </is>
      </c>
      <c r="B328" t="n">
        <v>64</v>
      </c>
      <c r="C328" t="n">
        <v>34</v>
      </c>
      <c r="D328" s="6" t="n">
        <v>46039.07847222222</v>
      </c>
      <c r="E328" t="n">
        <v>299</v>
      </c>
      <c r="F328" t="inlineStr">
        <is>
          <t>UPI</t>
        </is>
      </c>
      <c r="G328" t="inlineStr">
        <is>
          <t>captured</t>
        </is>
      </c>
      <c r="H328" t="n">
        <v>19</v>
      </c>
      <c r="I328">
        <f>IFERROR(VLOOKUP(C328,Merchants!$A$2:$D$41,2,FALSE),"Merchant not found")</f>
        <v/>
      </c>
      <c r="J328">
        <f>IFERROR(VLOOKUP(C328,Merchants!$A$2:$D$41,3,FALSE),"Merchant not found")</f>
        <v/>
      </c>
      <c r="K328">
        <f>IFERROR(VLOOKUP(C328,Merchants!$A$2:$D$41,4,FALSE),"Merchant not found")</f>
        <v/>
      </c>
      <c r="L328" s="4">
        <f>HLOOKUP(F328,Fee_Tiers!$B$2:$E$3,2,FALSE)</f>
        <v/>
      </c>
      <c r="M328">
        <f>E328*L328</f>
        <v/>
      </c>
      <c r="N328" s="5" t="n">
        <v>46039</v>
      </c>
      <c r="O328">
        <f>C328&amp;"_"&amp;TEXT(N328,"yyyy-mm-dd")</f>
        <v/>
      </c>
      <c r="P328">
        <f>IFERROR(VLOOKUP(O328,Merchant_Day_Analysis!$A$5:$G$447,7,FALSE),"Not found")</f>
        <v/>
      </c>
    </row>
    <row r="329">
      <c r="A329" t="inlineStr">
        <is>
          <t>TXN100327</t>
        </is>
      </c>
      <c r="B329" t="n">
        <v>166</v>
      </c>
      <c r="C329" t="n">
        <v>15</v>
      </c>
      <c r="D329" s="6" t="n">
        <v>46032.21527777778</v>
      </c>
      <c r="E329" t="n">
        <v>49</v>
      </c>
      <c r="F329" t="inlineStr">
        <is>
          <t>UPI</t>
        </is>
      </c>
      <c r="G329" t="inlineStr">
        <is>
          <t>captured</t>
        </is>
      </c>
      <c r="H329" t="n">
        <v>44</v>
      </c>
      <c r="I329">
        <f>IFERROR(VLOOKUP(C329,Merchants!$A$2:$D$41,2,FALSE),"Merchant not found")</f>
        <v/>
      </c>
      <c r="J329">
        <f>IFERROR(VLOOKUP(C329,Merchants!$A$2:$D$41,3,FALSE),"Merchant not found")</f>
        <v/>
      </c>
      <c r="K329">
        <f>IFERROR(VLOOKUP(C329,Merchants!$A$2:$D$41,4,FALSE),"Merchant not found")</f>
        <v/>
      </c>
      <c r="L329" s="4">
        <f>HLOOKUP(F329,Fee_Tiers!$B$2:$E$3,2,FALSE)</f>
        <v/>
      </c>
      <c r="M329">
        <f>E329*L329</f>
        <v/>
      </c>
      <c r="N329" s="5" t="n">
        <v>46032</v>
      </c>
      <c r="O329">
        <f>C329&amp;"_"&amp;TEXT(N329,"yyyy-mm-dd")</f>
        <v/>
      </c>
      <c r="P329">
        <f>IFERROR(VLOOKUP(O329,Merchant_Day_Analysis!$A$5:$G$447,7,FALSE),"Not found")</f>
        <v/>
      </c>
    </row>
    <row r="330">
      <c r="A330" t="inlineStr">
        <is>
          <t>TXN100328</t>
        </is>
      </c>
      <c r="B330" t="n">
        <v>41</v>
      </c>
      <c r="C330" t="n">
        <v>17</v>
      </c>
      <c r="D330" s="6" t="n">
        <v>46039.4125</v>
      </c>
      <c r="E330" t="n">
        <v>299</v>
      </c>
      <c r="F330" t="inlineStr">
        <is>
          <t>Wallet</t>
        </is>
      </c>
      <c r="G330" t="inlineStr">
        <is>
          <t>captured</t>
        </is>
      </c>
      <c r="H330" t="n">
        <v>25</v>
      </c>
      <c r="I330">
        <f>IFERROR(VLOOKUP(C330,Merchants!$A$2:$D$41,2,FALSE),"Merchant not found")</f>
        <v/>
      </c>
      <c r="J330">
        <f>IFERROR(VLOOKUP(C330,Merchants!$A$2:$D$41,3,FALSE),"Merchant not found")</f>
        <v/>
      </c>
      <c r="K330">
        <f>IFERROR(VLOOKUP(C330,Merchants!$A$2:$D$41,4,FALSE),"Merchant not found")</f>
        <v/>
      </c>
      <c r="L330" s="4">
        <f>HLOOKUP(F330,Fee_Tiers!$B$2:$E$3,2,FALSE)</f>
        <v/>
      </c>
      <c r="M330">
        <f>E330*L330</f>
        <v/>
      </c>
      <c r="N330" s="5" t="n">
        <v>46039</v>
      </c>
      <c r="O330">
        <f>C330&amp;"_"&amp;TEXT(N330,"yyyy-mm-dd")</f>
        <v/>
      </c>
      <c r="P330">
        <f>IFERROR(VLOOKUP(O330,Merchant_Day_Analysis!$A$5:$G$447,7,FALSE),"Not found")</f>
        <v/>
      </c>
    </row>
    <row r="331">
      <c r="A331" t="inlineStr">
        <is>
          <t>TXN100329</t>
        </is>
      </c>
      <c r="B331" t="n">
        <v>65</v>
      </c>
      <c r="C331" t="n">
        <v>20</v>
      </c>
      <c r="D331" s="6" t="n">
        <v>46043.72013888889</v>
      </c>
      <c r="E331" t="n">
        <v>99</v>
      </c>
      <c r="F331" t="inlineStr">
        <is>
          <t>Card</t>
        </is>
      </c>
      <c r="G331" t="inlineStr">
        <is>
          <t>captured</t>
        </is>
      </c>
      <c r="H331" t="n">
        <v>78</v>
      </c>
      <c r="I331">
        <f>IFERROR(VLOOKUP(C331,Merchants!$A$2:$D$41,2,FALSE),"Merchant not found")</f>
        <v/>
      </c>
      <c r="J331">
        <f>IFERROR(VLOOKUP(C331,Merchants!$A$2:$D$41,3,FALSE),"Merchant not found")</f>
        <v/>
      </c>
      <c r="K331">
        <f>IFERROR(VLOOKUP(C331,Merchants!$A$2:$D$41,4,FALSE),"Merchant not found")</f>
        <v/>
      </c>
      <c r="L331" s="4">
        <f>HLOOKUP(F331,Fee_Tiers!$B$2:$E$3,2,FALSE)</f>
        <v/>
      </c>
      <c r="M331">
        <f>E331*L331</f>
        <v/>
      </c>
      <c r="N331" s="5" t="n">
        <v>46043</v>
      </c>
      <c r="O331">
        <f>C331&amp;"_"&amp;TEXT(N331,"yyyy-mm-dd")</f>
        <v/>
      </c>
      <c r="P331">
        <f>IFERROR(VLOOKUP(O331,Merchant_Day_Analysis!$A$5:$G$447,7,FALSE),"Not found")</f>
        <v/>
      </c>
    </row>
    <row r="332">
      <c r="A332" t="inlineStr">
        <is>
          <t>TXN100330</t>
        </is>
      </c>
      <c r="B332" t="n">
        <v>329</v>
      </c>
      <c r="C332" t="n">
        <v>11</v>
      </c>
      <c r="D332" s="6" t="n">
        <v>46040.10555555556</v>
      </c>
      <c r="E332" t="n">
        <v>499</v>
      </c>
      <c r="F332" t="inlineStr">
        <is>
          <t>UPI</t>
        </is>
      </c>
      <c r="G332" t="inlineStr">
        <is>
          <t>captured</t>
        </is>
      </c>
      <c r="H332" t="n">
        <v>75</v>
      </c>
      <c r="I332">
        <f>IFERROR(VLOOKUP(C332,Merchants!$A$2:$D$41,2,FALSE),"Merchant not found")</f>
        <v/>
      </c>
      <c r="J332">
        <f>IFERROR(VLOOKUP(C332,Merchants!$A$2:$D$41,3,FALSE),"Merchant not found")</f>
        <v/>
      </c>
      <c r="K332">
        <f>IFERROR(VLOOKUP(C332,Merchants!$A$2:$D$41,4,FALSE),"Merchant not found")</f>
        <v/>
      </c>
      <c r="L332" s="4">
        <f>HLOOKUP(F332,Fee_Tiers!$B$2:$E$3,2,FALSE)</f>
        <v/>
      </c>
      <c r="M332">
        <f>E332*L332</f>
        <v/>
      </c>
      <c r="N332" s="5" t="n">
        <v>46040</v>
      </c>
      <c r="O332">
        <f>C332&amp;"_"&amp;TEXT(N332,"yyyy-mm-dd")</f>
        <v/>
      </c>
      <c r="P332">
        <f>IFERROR(VLOOKUP(O332,Merchant_Day_Analysis!$A$5:$G$447,7,FALSE),"Not found")</f>
        <v/>
      </c>
    </row>
    <row r="333">
      <c r="A333" t="inlineStr">
        <is>
          <t>TXN100331</t>
        </is>
      </c>
      <c r="B333" t="n">
        <v>338</v>
      </c>
      <c r="C333" t="n">
        <v>40</v>
      </c>
      <c r="D333" s="6" t="n">
        <v>46041.17361111111</v>
      </c>
      <c r="E333" t="n">
        <v>149</v>
      </c>
      <c r="F333" t="inlineStr">
        <is>
          <t>UPI</t>
        </is>
      </c>
      <c r="G333" t="inlineStr">
        <is>
          <t>captured</t>
        </is>
      </c>
      <c r="H333" t="n">
        <v>92</v>
      </c>
      <c r="I333">
        <f>IFERROR(VLOOKUP(C333,Merchants!$A$2:$D$41,2,FALSE),"Merchant not found")</f>
        <v/>
      </c>
      <c r="J333">
        <f>IFERROR(VLOOKUP(C333,Merchants!$A$2:$D$41,3,FALSE),"Merchant not found")</f>
        <v/>
      </c>
      <c r="K333">
        <f>IFERROR(VLOOKUP(C333,Merchants!$A$2:$D$41,4,FALSE),"Merchant not found")</f>
        <v/>
      </c>
      <c r="L333" s="4">
        <f>HLOOKUP(F333,Fee_Tiers!$B$2:$E$3,2,FALSE)</f>
        <v/>
      </c>
      <c r="M333">
        <f>E333*L333</f>
        <v/>
      </c>
      <c r="N333" s="5" t="n">
        <v>46041</v>
      </c>
      <c r="O333">
        <f>C333&amp;"_"&amp;TEXT(N333,"yyyy-mm-dd")</f>
        <v/>
      </c>
      <c r="P333">
        <f>IFERROR(VLOOKUP(O333,Merchant_Day_Analysis!$A$5:$G$447,7,FALSE),"Not found")</f>
        <v/>
      </c>
    </row>
    <row r="334">
      <c r="A334" t="inlineStr">
        <is>
          <t>TXN100332</t>
        </is>
      </c>
      <c r="B334" t="n">
        <v>289</v>
      </c>
      <c r="C334" t="n">
        <v>3</v>
      </c>
      <c r="D334" s="6" t="n">
        <v>46051.80625</v>
      </c>
      <c r="E334" t="n">
        <v>49</v>
      </c>
      <c r="F334" t="inlineStr">
        <is>
          <t>Netbanking</t>
        </is>
      </c>
      <c r="G334" t="inlineStr">
        <is>
          <t>captured</t>
        </is>
      </c>
      <c r="H334" t="n">
        <v>3</v>
      </c>
      <c r="I334">
        <f>IFERROR(VLOOKUP(C334,Merchants!$A$2:$D$41,2,FALSE),"Merchant not found")</f>
        <v/>
      </c>
      <c r="J334">
        <f>IFERROR(VLOOKUP(C334,Merchants!$A$2:$D$41,3,FALSE),"Merchant not found")</f>
        <v/>
      </c>
      <c r="K334">
        <f>IFERROR(VLOOKUP(C334,Merchants!$A$2:$D$41,4,FALSE),"Merchant not found")</f>
        <v/>
      </c>
      <c r="L334" s="4">
        <f>HLOOKUP(F334,Fee_Tiers!$B$2:$E$3,2,FALSE)</f>
        <v/>
      </c>
      <c r="M334">
        <f>E334*L334</f>
        <v/>
      </c>
      <c r="N334" s="5" t="n">
        <v>46051</v>
      </c>
      <c r="O334">
        <f>C334&amp;"_"&amp;TEXT(N334,"yyyy-mm-dd")</f>
        <v/>
      </c>
      <c r="P334">
        <f>IFERROR(VLOOKUP(O334,Merchant_Day_Analysis!$A$5:$G$447,7,FALSE),"Not found")</f>
        <v/>
      </c>
    </row>
    <row r="335">
      <c r="A335" t="inlineStr">
        <is>
          <t>TXN100333</t>
        </is>
      </c>
      <c r="B335" t="n">
        <v>296</v>
      </c>
      <c r="C335" t="n">
        <v>17</v>
      </c>
      <c r="D335" s="6" t="n">
        <v>46025.07013888889</v>
      </c>
      <c r="E335" t="n">
        <v>99</v>
      </c>
      <c r="F335" t="inlineStr">
        <is>
          <t>UPI</t>
        </is>
      </c>
      <c r="G335" t="inlineStr">
        <is>
          <t>captured</t>
        </is>
      </c>
      <c r="H335" t="n">
        <v>83</v>
      </c>
      <c r="I335">
        <f>IFERROR(VLOOKUP(C335,Merchants!$A$2:$D$41,2,FALSE),"Merchant not found")</f>
        <v/>
      </c>
      <c r="J335">
        <f>IFERROR(VLOOKUP(C335,Merchants!$A$2:$D$41,3,FALSE),"Merchant not found")</f>
        <v/>
      </c>
      <c r="K335">
        <f>IFERROR(VLOOKUP(C335,Merchants!$A$2:$D$41,4,FALSE),"Merchant not found")</f>
        <v/>
      </c>
      <c r="L335" s="4">
        <f>HLOOKUP(F335,Fee_Tiers!$B$2:$E$3,2,FALSE)</f>
        <v/>
      </c>
      <c r="M335">
        <f>E335*L335</f>
        <v/>
      </c>
      <c r="N335" s="5" t="n">
        <v>46025</v>
      </c>
      <c r="O335">
        <f>C335&amp;"_"&amp;TEXT(N335,"yyyy-mm-dd")</f>
        <v/>
      </c>
      <c r="P335">
        <f>IFERROR(VLOOKUP(O335,Merchant_Day_Analysis!$A$5:$G$447,7,FALSE),"Not found")</f>
        <v/>
      </c>
    </row>
    <row r="336">
      <c r="A336" t="inlineStr">
        <is>
          <t>TXN100334</t>
        </is>
      </c>
      <c r="B336" t="n">
        <v>317</v>
      </c>
      <c r="C336" t="n">
        <v>2</v>
      </c>
      <c r="D336" s="6" t="n">
        <v>46029.76805555556</v>
      </c>
      <c r="E336" t="n">
        <v>499</v>
      </c>
      <c r="F336" t="inlineStr">
        <is>
          <t>Card</t>
        </is>
      </c>
      <c r="G336" t="inlineStr">
        <is>
          <t>captured</t>
        </is>
      </c>
      <c r="H336" t="n">
        <v>63</v>
      </c>
      <c r="I336">
        <f>IFERROR(VLOOKUP(C336,Merchants!$A$2:$D$41,2,FALSE),"Merchant not found")</f>
        <v/>
      </c>
      <c r="J336">
        <f>IFERROR(VLOOKUP(C336,Merchants!$A$2:$D$41,3,FALSE),"Merchant not found")</f>
        <v/>
      </c>
      <c r="K336">
        <f>IFERROR(VLOOKUP(C336,Merchants!$A$2:$D$41,4,FALSE),"Merchant not found")</f>
        <v/>
      </c>
      <c r="L336" s="4">
        <f>HLOOKUP(F336,Fee_Tiers!$B$2:$E$3,2,FALSE)</f>
        <v/>
      </c>
      <c r="M336">
        <f>E336*L336</f>
        <v/>
      </c>
      <c r="N336" s="5" t="n">
        <v>46029</v>
      </c>
      <c r="O336">
        <f>C336&amp;"_"&amp;TEXT(N336,"yyyy-mm-dd")</f>
        <v/>
      </c>
      <c r="P336">
        <f>IFERROR(VLOOKUP(O336,Merchant_Day_Analysis!$A$5:$G$447,7,FALSE),"Not found")</f>
        <v/>
      </c>
    </row>
    <row r="337">
      <c r="A337" t="inlineStr">
        <is>
          <t>TXN100335</t>
        </is>
      </c>
      <c r="B337" t="n">
        <v>149</v>
      </c>
      <c r="C337" t="n">
        <v>20</v>
      </c>
      <c r="D337" s="6" t="n">
        <v>46051.85694444444</v>
      </c>
      <c r="E337" t="n">
        <v>499</v>
      </c>
      <c r="F337" t="inlineStr">
        <is>
          <t>Card</t>
        </is>
      </c>
      <c r="G337" t="inlineStr">
        <is>
          <t>captured</t>
        </is>
      </c>
      <c r="H337" t="n">
        <v>61</v>
      </c>
      <c r="I337">
        <f>IFERROR(VLOOKUP(C337,Merchants!$A$2:$D$41,2,FALSE),"Merchant not found")</f>
        <v/>
      </c>
      <c r="J337">
        <f>IFERROR(VLOOKUP(C337,Merchants!$A$2:$D$41,3,FALSE),"Merchant not found")</f>
        <v/>
      </c>
      <c r="K337">
        <f>IFERROR(VLOOKUP(C337,Merchants!$A$2:$D$41,4,FALSE),"Merchant not found")</f>
        <v/>
      </c>
      <c r="L337" s="4">
        <f>HLOOKUP(F337,Fee_Tiers!$B$2:$E$3,2,FALSE)</f>
        <v/>
      </c>
      <c r="M337">
        <f>E337*L337</f>
        <v/>
      </c>
      <c r="N337" s="5" t="n">
        <v>46051</v>
      </c>
      <c r="O337">
        <f>C337&amp;"_"&amp;TEXT(N337,"yyyy-mm-dd")</f>
        <v/>
      </c>
      <c r="P337">
        <f>IFERROR(VLOOKUP(O337,Merchant_Day_Analysis!$A$5:$G$447,7,FALSE),"Not found")</f>
        <v/>
      </c>
    </row>
    <row r="338">
      <c r="A338" t="inlineStr">
        <is>
          <t>TXN100336</t>
        </is>
      </c>
      <c r="B338" t="n">
        <v>153</v>
      </c>
      <c r="C338" t="n">
        <v>30</v>
      </c>
      <c r="D338" s="6" t="n">
        <v>46030.89236111111</v>
      </c>
      <c r="E338" t="n">
        <v>299</v>
      </c>
      <c r="F338" t="inlineStr">
        <is>
          <t>UPI</t>
        </is>
      </c>
      <c r="G338" t="inlineStr">
        <is>
          <t>captured</t>
        </is>
      </c>
      <c r="H338" t="n">
        <v>9</v>
      </c>
      <c r="I338">
        <f>IFERROR(VLOOKUP(C338,Merchants!$A$2:$D$41,2,FALSE),"Merchant not found")</f>
        <v/>
      </c>
      <c r="J338">
        <f>IFERROR(VLOOKUP(C338,Merchants!$A$2:$D$41,3,FALSE),"Merchant not found")</f>
        <v/>
      </c>
      <c r="K338">
        <f>IFERROR(VLOOKUP(C338,Merchants!$A$2:$D$41,4,FALSE),"Merchant not found")</f>
        <v/>
      </c>
      <c r="L338" s="4">
        <f>HLOOKUP(F338,Fee_Tiers!$B$2:$E$3,2,FALSE)</f>
        <v/>
      </c>
      <c r="M338">
        <f>E338*L338</f>
        <v/>
      </c>
      <c r="N338" s="5" t="n">
        <v>46030</v>
      </c>
      <c r="O338">
        <f>C338&amp;"_"&amp;TEXT(N338,"yyyy-mm-dd")</f>
        <v/>
      </c>
      <c r="P338">
        <f>IFERROR(VLOOKUP(O338,Merchant_Day_Analysis!$A$5:$G$447,7,FALSE),"Not found")</f>
        <v/>
      </c>
    </row>
    <row r="339">
      <c r="A339" t="inlineStr">
        <is>
          <t>TXN100337</t>
        </is>
      </c>
      <c r="B339" t="n">
        <v>226</v>
      </c>
      <c r="C339" t="n">
        <v>27</v>
      </c>
      <c r="D339" s="6" t="n">
        <v>46045.04861111111</v>
      </c>
      <c r="E339" t="n">
        <v>2999</v>
      </c>
      <c r="F339" t="inlineStr">
        <is>
          <t>UPI</t>
        </is>
      </c>
      <c r="G339" t="inlineStr">
        <is>
          <t>chargeback</t>
        </is>
      </c>
      <c r="H339" t="n">
        <v>61</v>
      </c>
      <c r="I339">
        <f>IFERROR(VLOOKUP(C339,Merchants!$A$2:$D$41,2,FALSE),"Merchant not found")</f>
        <v/>
      </c>
      <c r="J339">
        <f>IFERROR(VLOOKUP(C339,Merchants!$A$2:$D$41,3,FALSE),"Merchant not found")</f>
        <v/>
      </c>
      <c r="K339">
        <f>IFERROR(VLOOKUP(C339,Merchants!$A$2:$D$41,4,FALSE),"Merchant not found")</f>
        <v/>
      </c>
      <c r="L339" s="4">
        <f>HLOOKUP(F339,Fee_Tiers!$B$2:$E$3,2,FALSE)</f>
        <v/>
      </c>
      <c r="M339">
        <f>E339*L339</f>
        <v/>
      </c>
      <c r="N339" s="5" t="n">
        <v>46045</v>
      </c>
      <c r="O339">
        <f>C339&amp;"_"&amp;TEXT(N339,"yyyy-mm-dd")</f>
        <v/>
      </c>
      <c r="P339">
        <f>IFERROR(VLOOKUP(O339,Merchant_Day_Analysis!$A$5:$G$447,7,FALSE),"Not found")</f>
        <v/>
      </c>
    </row>
    <row r="340">
      <c r="A340" t="inlineStr">
        <is>
          <t>TXN100338</t>
        </is>
      </c>
      <c r="B340" t="n">
        <v>311</v>
      </c>
      <c r="C340" t="n">
        <v>10</v>
      </c>
      <c r="D340" s="6" t="n">
        <v>46037.26458333333</v>
      </c>
      <c r="E340" t="n">
        <v>2999</v>
      </c>
      <c r="F340" t="inlineStr">
        <is>
          <t>UPI</t>
        </is>
      </c>
      <c r="G340" t="inlineStr">
        <is>
          <t>captured</t>
        </is>
      </c>
      <c r="H340" t="n">
        <v>40</v>
      </c>
      <c r="I340">
        <f>IFERROR(VLOOKUP(C340,Merchants!$A$2:$D$41,2,FALSE),"Merchant not found")</f>
        <v/>
      </c>
      <c r="J340">
        <f>IFERROR(VLOOKUP(C340,Merchants!$A$2:$D$41,3,FALSE),"Merchant not found")</f>
        <v/>
      </c>
      <c r="K340">
        <f>IFERROR(VLOOKUP(C340,Merchants!$A$2:$D$41,4,FALSE),"Merchant not found")</f>
        <v/>
      </c>
      <c r="L340" s="4">
        <f>HLOOKUP(F340,Fee_Tiers!$B$2:$E$3,2,FALSE)</f>
        <v/>
      </c>
      <c r="M340">
        <f>E340*L340</f>
        <v/>
      </c>
      <c r="N340" s="5" t="n">
        <v>46037</v>
      </c>
      <c r="O340">
        <f>C340&amp;"_"&amp;TEXT(N340,"yyyy-mm-dd")</f>
        <v/>
      </c>
      <c r="P340">
        <f>IFERROR(VLOOKUP(O340,Merchant_Day_Analysis!$A$5:$G$447,7,FALSE),"Not found")</f>
        <v/>
      </c>
    </row>
    <row r="341">
      <c r="A341" t="inlineStr">
        <is>
          <t>TXN100339</t>
        </is>
      </c>
      <c r="B341" t="n">
        <v>177</v>
      </c>
      <c r="C341" t="n">
        <v>26</v>
      </c>
      <c r="D341" s="6" t="n">
        <v>46050.93055555555</v>
      </c>
      <c r="E341" t="n">
        <v>1499</v>
      </c>
      <c r="F341" t="inlineStr">
        <is>
          <t>UPI</t>
        </is>
      </c>
      <c r="G341" t="inlineStr">
        <is>
          <t>captured</t>
        </is>
      </c>
      <c r="H341" t="n">
        <v>16</v>
      </c>
      <c r="I341">
        <f>IFERROR(VLOOKUP(C341,Merchants!$A$2:$D$41,2,FALSE),"Merchant not found")</f>
        <v/>
      </c>
      <c r="J341">
        <f>IFERROR(VLOOKUP(C341,Merchants!$A$2:$D$41,3,FALSE),"Merchant not found")</f>
        <v/>
      </c>
      <c r="K341">
        <f>IFERROR(VLOOKUP(C341,Merchants!$A$2:$D$41,4,FALSE),"Merchant not found")</f>
        <v/>
      </c>
      <c r="L341" s="4">
        <f>HLOOKUP(F341,Fee_Tiers!$B$2:$E$3,2,FALSE)</f>
        <v/>
      </c>
      <c r="M341">
        <f>E341*L341</f>
        <v/>
      </c>
      <c r="N341" s="5" t="n">
        <v>46050</v>
      </c>
      <c r="O341">
        <f>C341&amp;"_"&amp;TEXT(N341,"yyyy-mm-dd")</f>
        <v/>
      </c>
      <c r="P341">
        <f>IFERROR(VLOOKUP(O341,Merchant_Day_Analysis!$A$5:$G$447,7,FALSE),"Not found")</f>
        <v/>
      </c>
    </row>
    <row r="342">
      <c r="A342" t="inlineStr">
        <is>
          <t>TXN100340</t>
        </is>
      </c>
      <c r="B342" t="n">
        <v>288</v>
      </c>
      <c r="C342" t="n">
        <v>7</v>
      </c>
      <c r="D342" s="6" t="n">
        <v>46047.48055555556</v>
      </c>
      <c r="E342" t="n">
        <v>99</v>
      </c>
      <c r="F342" t="inlineStr">
        <is>
          <t>Netbanking</t>
        </is>
      </c>
      <c r="G342" t="inlineStr">
        <is>
          <t>captured</t>
        </is>
      </c>
      <c r="H342" t="n">
        <v>40</v>
      </c>
      <c r="I342">
        <f>IFERROR(VLOOKUP(C342,Merchants!$A$2:$D$41,2,FALSE),"Merchant not found")</f>
        <v/>
      </c>
      <c r="J342">
        <f>IFERROR(VLOOKUP(C342,Merchants!$A$2:$D$41,3,FALSE),"Merchant not found")</f>
        <v/>
      </c>
      <c r="K342">
        <f>IFERROR(VLOOKUP(C342,Merchants!$A$2:$D$41,4,FALSE),"Merchant not found")</f>
        <v/>
      </c>
      <c r="L342" s="4">
        <f>HLOOKUP(F342,Fee_Tiers!$B$2:$E$3,2,FALSE)</f>
        <v/>
      </c>
      <c r="M342">
        <f>E342*L342</f>
        <v/>
      </c>
      <c r="N342" s="5" t="n">
        <v>46047</v>
      </c>
      <c r="O342">
        <f>C342&amp;"_"&amp;TEXT(N342,"yyyy-mm-dd")</f>
        <v/>
      </c>
      <c r="P342">
        <f>IFERROR(VLOOKUP(O342,Merchant_Day_Analysis!$A$5:$G$447,7,FALSE),"Not found")</f>
        <v/>
      </c>
    </row>
    <row r="343">
      <c r="A343" t="inlineStr">
        <is>
          <t>TXN100341</t>
        </is>
      </c>
      <c r="B343" t="n">
        <v>137</v>
      </c>
      <c r="C343" t="n">
        <v>29</v>
      </c>
      <c r="D343" s="6" t="n">
        <v>46030.58819444444</v>
      </c>
      <c r="E343" t="n">
        <v>2999</v>
      </c>
      <c r="F343" t="inlineStr">
        <is>
          <t>UPI</t>
        </is>
      </c>
      <c r="G343" t="inlineStr">
        <is>
          <t>failed</t>
        </is>
      </c>
      <c r="H343" t="n">
        <v>31</v>
      </c>
      <c r="I343">
        <f>IFERROR(VLOOKUP(C343,Merchants!$A$2:$D$41,2,FALSE),"Merchant not found")</f>
        <v/>
      </c>
      <c r="J343">
        <f>IFERROR(VLOOKUP(C343,Merchants!$A$2:$D$41,3,FALSE),"Merchant not found")</f>
        <v/>
      </c>
      <c r="K343">
        <f>IFERROR(VLOOKUP(C343,Merchants!$A$2:$D$41,4,FALSE),"Merchant not found")</f>
        <v/>
      </c>
      <c r="L343" s="4">
        <f>HLOOKUP(F343,Fee_Tiers!$B$2:$E$3,2,FALSE)</f>
        <v/>
      </c>
      <c r="M343">
        <f>E343*L343</f>
        <v/>
      </c>
      <c r="N343" s="5" t="n">
        <v>46030</v>
      </c>
      <c r="O343">
        <f>C343&amp;"_"&amp;TEXT(N343,"yyyy-mm-dd")</f>
        <v/>
      </c>
      <c r="P343">
        <f>IFERROR(VLOOKUP(O343,Merchant_Day_Analysis!$A$5:$G$447,7,FALSE),"Not found")</f>
        <v/>
      </c>
    </row>
    <row r="344">
      <c r="A344" t="inlineStr">
        <is>
          <t>TXN100342</t>
        </is>
      </c>
      <c r="B344" t="n">
        <v>149</v>
      </c>
      <c r="C344" t="n">
        <v>25</v>
      </c>
      <c r="D344" s="6" t="n">
        <v>46027.12708333333</v>
      </c>
      <c r="E344" t="n">
        <v>1499</v>
      </c>
      <c r="F344" t="inlineStr">
        <is>
          <t>UPI</t>
        </is>
      </c>
      <c r="G344" t="inlineStr">
        <is>
          <t>captured</t>
        </is>
      </c>
      <c r="H344" t="n">
        <v>78</v>
      </c>
      <c r="I344">
        <f>IFERROR(VLOOKUP(C344,Merchants!$A$2:$D$41,2,FALSE),"Merchant not found")</f>
        <v/>
      </c>
      <c r="J344">
        <f>IFERROR(VLOOKUP(C344,Merchants!$A$2:$D$41,3,FALSE),"Merchant not found")</f>
        <v/>
      </c>
      <c r="K344">
        <f>IFERROR(VLOOKUP(C344,Merchants!$A$2:$D$41,4,FALSE),"Merchant not found")</f>
        <v/>
      </c>
      <c r="L344" s="4">
        <f>HLOOKUP(F344,Fee_Tiers!$B$2:$E$3,2,FALSE)</f>
        <v/>
      </c>
      <c r="M344">
        <f>E344*L344</f>
        <v/>
      </c>
      <c r="N344" s="5" t="n">
        <v>46027</v>
      </c>
      <c r="O344">
        <f>C344&amp;"_"&amp;TEXT(N344,"yyyy-mm-dd")</f>
        <v/>
      </c>
      <c r="P344">
        <f>IFERROR(VLOOKUP(O344,Merchant_Day_Analysis!$A$5:$G$447,7,FALSE),"Not found")</f>
        <v/>
      </c>
    </row>
    <row r="345">
      <c r="A345" t="inlineStr">
        <is>
          <t>TXN100343</t>
        </is>
      </c>
      <c r="B345" t="n">
        <v>82</v>
      </c>
      <c r="C345" t="n">
        <v>21</v>
      </c>
      <c r="D345" s="6" t="n">
        <v>46036.32986111111</v>
      </c>
      <c r="E345" t="n">
        <v>49</v>
      </c>
      <c r="F345" t="inlineStr">
        <is>
          <t>Wallet</t>
        </is>
      </c>
      <c r="G345" t="inlineStr">
        <is>
          <t>captured</t>
        </is>
      </c>
      <c r="H345" t="n">
        <v>73</v>
      </c>
      <c r="I345">
        <f>IFERROR(VLOOKUP(C345,Merchants!$A$2:$D$41,2,FALSE),"Merchant not found")</f>
        <v/>
      </c>
      <c r="J345">
        <f>IFERROR(VLOOKUP(C345,Merchants!$A$2:$D$41,3,FALSE),"Merchant not found")</f>
        <v/>
      </c>
      <c r="K345">
        <f>IFERROR(VLOOKUP(C345,Merchants!$A$2:$D$41,4,FALSE),"Merchant not found")</f>
        <v/>
      </c>
      <c r="L345" s="4">
        <f>HLOOKUP(F345,Fee_Tiers!$B$2:$E$3,2,FALSE)</f>
        <v/>
      </c>
      <c r="M345">
        <f>E345*L345</f>
        <v/>
      </c>
      <c r="N345" s="5" t="n">
        <v>46036</v>
      </c>
      <c r="O345">
        <f>C345&amp;"_"&amp;TEXT(N345,"yyyy-mm-dd")</f>
        <v/>
      </c>
      <c r="P345">
        <f>IFERROR(VLOOKUP(O345,Merchant_Day_Analysis!$A$5:$G$447,7,FALSE),"Not found")</f>
        <v/>
      </c>
    </row>
    <row r="346">
      <c r="A346" t="inlineStr">
        <is>
          <t>TXN100344</t>
        </is>
      </c>
      <c r="B346" t="n">
        <v>82</v>
      </c>
      <c r="C346" t="n">
        <v>32</v>
      </c>
      <c r="D346" s="6" t="n">
        <v>46046.425</v>
      </c>
      <c r="E346" t="n">
        <v>49</v>
      </c>
      <c r="F346" t="inlineStr">
        <is>
          <t>UPI</t>
        </is>
      </c>
      <c r="G346" t="inlineStr">
        <is>
          <t>captured</t>
        </is>
      </c>
      <c r="H346" t="n">
        <v>65</v>
      </c>
      <c r="I346">
        <f>IFERROR(VLOOKUP(C346,Merchants!$A$2:$D$41,2,FALSE),"Merchant not found")</f>
        <v/>
      </c>
      <c r="J346">
        <f>IFERROR(VLOOKUP(C346,Merchants!$A$2:$D$41,3,FALSE),"Merchant not found")</f>
        <v/>
      </c>
      <c r="K346">
        <f>IFERROR(VLOOKUP(C346,Merchants!$A$2:$D$41,4,FALSE),"Merchant not found")</f>
        <v/>
      </c>
      <c r="L346" s="4">
        <f>HLOOKUP(F346,Fee_Tiers!$B$2:$E$3,2,FALSE)</f>
        <v/>
      </c>
      <c r="M346">
        <f>E346*L346</f>
        <v/>
      </c>
      <c r="N346" s="5" t="n">
        <v>46046</v>
      </c>
      <c r="O346">
        <f>C346&amp;"_"&amp;TEXT(N346,"yyyy-mm-dd")</f>
        <v/>
      </c>
      <c r="P346">
        <f>IFERROR(VLOOKUP(O346,Merchant_Day_Analysis!$A$5:$G$447,7,FALSE),"Not found")</f>
        <v/>
      </c>
    </row>
    <row r="347">
      <c r="A347" t="inlineStr">
        <is>
          <t>TXN100345</t>
        </is>
      </c>
      <c r="B347" t="n">
        <v>158</v>
      </c>
      <c r="C347" t="n">
        <v>32</v>
      </c>
      <c r="D347" s="6" t="n">
        <v>46037.66388888889</v>
      </c>
      <c r="E347" t="n">
        <v>99</v>
      </c>
      <c r="F347" t="inlineStr">
        <is>
          <t>Wallet</t>
        </is>
      </c>
      <c r="G347" t="inlineStr">
        <is>
          <t>captured</t>
        </is>
      </c>
      <c r="H347" t="n">
        <v>2</v>
      </c>
      <c r="I347">
        <f>IFERROR(VLOOKUP(C347,Merchants!$A$2:$D$41,2,FALSE),"Merchant not found")</f>
        <v/>
      </c>
      <c r="J347">
        <f>IFERROR(VLOOKUP(C347,Merchants!$A$2:$D$41,3,FALSE),"Merchant not found")</f>
        <v/>
      </c>
      <c r="K347">
        <f>IFERROR(VLOOKUP(C347,Merchants!$A$2:$D$41,4,FALSE),"Merchant not found")</f>
        <v/>
      </c>
      <c r="L347" s="4">
        <f>HLOOKUP(F347,Fee_Tiers!$B$2:$E$3,2,FALSE)</f>
        <v/>
      </c>
      <c r="M347">
        <f>E347*L347</f>
        <v/>
      </c>
      <c r="N347" s="5" t="n">
        <v>46037</v>
      </c>
      <c r="O347">
        <f>C347&amp;"_"&amp;TEXT(N347,"yyyy-mm-dd")</f>
        <v/>
      </c>
      <c r="P347">
        <f>IFERROR(VLOOKUP(O347,Merchant_Day_Analysis!$A$5:$G$447,7,FALSE),"Not found")</f>
        <v/>
      </c>
    </row>
    <row r="348">
      <c r="A348" t="inlineStr">
        <is>
          <t>TXN100346</t>
        </is>
      </c>
      <c r="B348" t="n">
        <v>235</v>
      </c>
      <c r="C348" t="n">
        <v>16</v>
      </c>
      <c r="D348" s="6" t="n">
        <v>46025.52222222222</v>
      </c>
      <c r="E348" t="n">
        <v>99</v>
      </c>
      <c r="F348" t="inlineStr">
        <is>
          <t>UPI</t>
        </is>
      </c>
      <c r="G348" t="inlineStr">
        <is>
          <t>captured</t>
        </is>
      </c>
      <c r="H348" t="n">
        <v>27</v>
      </c>
      <c r="I348">
        <f>IFERROR(VLOOKUP(C348,Merchants!$A$2:$D$41,2,FALSE),"Merchant not found")</f>
        <v/>
      </c>
      <c r="J348">
        <f>IFERROR(VLOOKUP(C348,Merchants!$A$2:$D$41,3,FALSE),"Merchant not found")</f>
        <v/>
      </c>
      <c r="K348">
        <f>IFERROR(VLOOKUP(C348,Merchants!$A$2:$D$41,4,FALSE),"Merchant not found")</f>
        <v/>
      </c>
      <c r="L348" s="4">
        <f>HLOOKUP(F348,Fee_Tiers!$B$2:$E$3,2,FALSE)</f>
        <v/>
      </c>
      <c r="M348">
        <f>E348*L348</f>
        <v/>
      </c>
      <c r="N348" s="5" t="n">
        <v>46025</v>
      </c>
      <c r="O348">
        <f>C348&amp;"_"&amp;TEXT(N348,"yyyy-mm-dd")</f>
        <v/>
      </c>
      <c r="P348">
        <f>IFERROR(VLOOKUP(O348,Merchant_Day_Analysis!$A$5:$G$447,7,FALSE),"Not found")</f>
        <v/>
      </c>
    </row>
    <row r="349">
      <c r="A349" t="inlineStr">
        <is>
          <t>TXN100347</t>
        </is>
      </c>
      <c r="B349" t="n">
        <v>26</v>
      </c>
      <c r="C349" t="n">
        <v>19</v>
      </c>
      <c r="D349" s="6" t="n">
        <v>46041.46041666667</v>
      </c>
      <c r="E349" t="n">
        <v>99</v>
      </c>
      <c r="F349" t="inlineStr">
        <is>
          <t>Wallet</t>
        </is>
      </c>
      <c r="G349" t="inlineStr">
        <is>
          <t>captured</t>
        </is>
      </c>
      <c r="H349" t="n">
        <v>63</v>
      </c>
      <c r="I349">
        <f>IFERROR(VLOOKUP(C349,Merchants!$A$2:$D$41,2,FALSE),"Merchant not found")</f>
        <v/>
      </c>
      <c r="J349">
        <f>IFERROR(VLOOKUP(C349,Merchants!$A$2:$D$41,3,FALSE),"Merchant not found")</f>
        <v/>
      </c>
      <c r="K349">
        <f>IFERROR(VLOOKUP(C349,Merchants!$A$2:$D$41,4,FALSE),"Merchant not found")</f>
        <v/>
      </c>
      <c r="L349" s="4">
        <f>HLOOKUP(F349,Fee_Tiers!$B$2:$E$3,2,FALSE)</f>
        <v/>
      </c>
      <c r="M349">
        <f>E349*L349</f>
        <v/>
      </c>
      <c r="N349" s="5" t="n">
        <v>46041</v>
      </c>
      <c r="O349">
        <f>C349&amp;"_"&amp;TEXT(N349,"yyyy-mm-dd")</f>
        <v/>
      </c>
      <c r="P349">
        <f>IFERROR(VLOOKUP(O349,Merchant_Day_Analysis!$A$5:$G$447,7,FALSE),"Not found")</f>
        <v/>
      </c>
    </row>
    <row r="350">
      <c r="A350" t="inlineStr">
        <is>
          <t>TXN100348</t>
        </is>
      </c>
      <c r="B350" t="n">
        <v>241</v>
      </c>
      <c r="C350" t="n">
        <v>19</v>
      </c>
      <c r="D350" s="6" t="n">
        <v>46042.86319444444</v>
      </c>
      <c r="E350" t="n">
        <v>299</v>
      </c>
      <c r="F350" t="inlineStr">
        <is>
          <t>UPI</t>
        </is>
      </c>
      <c r="G350" t="inlineStr">
        <is>
          <t>captured</t>
        </is>
      </c>
      <c r="H350" t="n">
        <v>68</v>
      </c>
      <c r="I350">
        <f>IFERROR(VLOOKUP(C350,Merchants!$A$2:$D$41,2,FALSE),"Merchant not found")</f>
        <v/>
      </c>
      <c r="J350">
        <f>IFERROR(VLOOKUP(C350,Merchants!$A$2:$D$41,3,FALSE),"Merchant not found")</f>
        <v/>
      </c>
      <c r="K350">
        <f>IFERROR(VLOOKUP(C350,Merchants!$A$2:$D$41,4,FALSE),"Merchant not found")</f>
        <v/>
      </c>
      <c r="L350" s="4">
        <f>HLOOKUP(F350,Fee_Tiers!$B$2:$E$3,2,FALSE)</f>
        <v/>
      </c>
      <c r="M350">
        <f>E350*L350</f>
        <v/>
      </c>
      <c r="N350" s="5" t="n">
        <v>46042</v>
      </c>
      <c r="O350">
        <f>C350&amp;"_"&amp;TEXT(N350,"yyyy-mm-dd")</f>
        <v/>
      </c>
      <c r="P350">
        <f>IFERROR(VLOOKUP(O350,Merchant_Day_Analysis!$A$5:$G$447,7,FALSE),"Not found")</f>
        <v/>
      </c>
    </row>
    <row r="351">
      <c r="A351" t="inlineStr">
        <is>
          <t>TXN100349</t>
        </is>
      </c>
      <c r="B351" t="n">
        <v>69</v>
      </c>
      <c r="C351" t="n">
        <v>17</v>
      </c>
      <c r="D351" s="6" t="n">
        <v>46023.14375</v>
      </c>
      <c r="E351" t="n">
        <v>1499</v>
      </c>
      <c r="F351" t="inlineStr">
        <is>
          <t>UPI</t>
        </is>
      </c>
      <c r="G351" t="inlineStr">
        <is>
          <t>captured</t>
        </is>
      </c>
      <c r="H351" t="n">
        <v>93</v>
      </c>
      <c r="I351">
        <f>IFERROR(VLOOKUP(C351,Merchants!$A$2:$D$41,2,FALSE),"Merchant not found")</f>
        <v/>
      </c>
      <c r="J351">
        <f>IFERROR(VLOOKUP(C351,Merchants!$A$2:$D$41,3,FALSE),"Merchant not found")</f>
        <v/>
      </c>
      <c r="K351">
        <f>IFERROR(VLOOKUP(C351,Merchants!$A$2:$D$41,4,FALSE),"Merchant not found")</f>
        <v/>
      </c>
      <c r="L351" s="4">
        <f>HLOOKUP(F351,Fee_Tiers!$B$2:$E$3,2,FALSE)</f>
        <v/>
      </c>
      <c r="M351">
        <f>E351*L351</f>
        <v/>
      </c>
      <c r="N351" s="5" t="n">
        <v>46023</v>
      </c>
      <c r="O351">
        <f>C351&amp;"_"&amp;TEXT(N351,"yyyy-mm-dd")</f>
        <v/>
      </c>
      <c r="P351">
        <f>IFERROR(VLOOKUP(O351,Merchant_Day_Analysis!$A$5:$G$447,7,FALSE),"Not found")</f>
        <v/>
      </c>
    </row>
    <row r="352">
      <c r="A352" t="inlineStr">
        <is>
          <t>TXN100350</t>
        </is>
      </c>
      <c r="B352" t="n">
        <v>24</v>
      </c>
      <c r="C352" t="n">
        <v>26</v>
      </c>
      <c r="D352" s="6" t="n">
        <v>46034.51597222222</v>
      </c>
      <c r="E352" t="n">
        <v>299</v>
      </c>
      <c r="F352" t="inlineStr">
        <is>
          <t>Netbanking</t>
        </is>
      </c>
      <c r="G352" t="inlineStr">
        <is>
          <t>captured</t>
        </is>
      </c>
      <c r="H352" t="n">
        <v>6</v>
      </c>
      <c r="I352">
        <f>IFERROR(VLOOKUP(C352,Merchants!$A$2:$D$41,2,FALSE),"Merchant not found")</f>
        <v/>
      </c>
      <c r="J352">
        <f>IFERROR(VLOOKUP(C352,Merchants!$A$2:$D$41,3,FALSE),"Merchant not found")</f>
        <v/>
      </c>
      <c r="K352">
        <f>IFERROR(VLOOKUP(C352,Merchants!$A$2:$D$41,4,FALSE),"Merchant not found")</f>
        <v/>
      </c>
      <c r="L352" s="4">
        <f>HLOOKUP(F352,Fee_Tiers!$B$2:$E$3,2,FALSE)</f>
        <v/>
      </c>
      <c r="M352">
        <f>E352*L352</f>
        <v/>
      </c>
      <c r="N352" s="5" t="n">
        <v>46034</v>
      </c>
      <c r="O352">
        <f>C352&amp;"_"&amp;TEXT(N352,"yyyy-mm-dd")</f>
        <v/>
      </c>
      <c r="P352">
        <f>IFERROR(VLOOKUP(O352,Merchant_Day_Analysis!$A$5:$G$447,7,FALSE),"Not found")</f>
        <v/>
      </c>
    </row>
    <row r="353">
      <c r="A353" t="inlineStr">
        <is>
          <t>TXN100351</t>
        </is>
      </c>
      <c r="B353" t="n">
        <v>186</v>
      </c>
      <c r="C353" t="n">
        <v>36</v>
      </c>
      <c r="D353" s="6" t="n">
        <v>46041.71666666667</v>
      </c>
      <c r="E353" t="n">
        <v>4999</v>
      </c>
      <c r="F353" t="inlineStr">
        <is>
          <t>UPI</t>
        </is>
      </c>
      <c r="G353" t="inlineStr">
        <is>
          <t>captured</t>
        </is>
      </c>
      <c r="H353" t="n">
        <v>36</v>
      </c>
      <c r="I353">
        <f>IFERROR(VLOOKUP(C353,Merchants!$A$2:$D$41,2,FALSE),"Merchant not found")</f>
        <v/>
      </c>
      <c r="J353">
        <f>IFERROR(VLOOKUP(C353,Merchants!$A$2:$D$41,3,FALSE),"Merchant not found")</f>
        <v/>
      </c>
      <c r="K353">
        <f>IFERROR(VLOOKUP(C353,Merchants!$A$2:$D$41,4,FALSE),"Merchant not found")</f>
        <v/>
      </c>
      <c r="L353" s="4">
        <f>HLOOKUP(F353,Fee_Tiers!$B$2:$E$3,2,FALSE)</f>
        <v/>
      </c>
      <c r="M353">
        <f>E353*L353</f>
        <v/>
      </c>
      <c r="N353" s="5" t="n">
        <v>46041</v>
      </c>
      <c r="O353">
        <f>C353&amp;"_"&amp;TEXT(N353,"yyyy-mm-dd")</f>
        <v/>
      </c>
      <c r="P353">
        <f>IFERROR(VLOOKUP(O353,Merchant_Day_Analysis!$A$5:$G$447,7,FALSE),"Not found")</f>
        <v/>
      </c>
    </row>
    <row r="354">
      <c r="A354" t="inlineStr">
        <is>
          <t>TXN100352</t>
        </is>
      </c>
      <c r="B354" t="n">
        <v>231</v>
      </c>
      <c r="C354" t="n">
        <v>36</v>
      </c>
      <c r="D354" s="6" t="n">
        <v>46025.52222222222</v>
      </c>
      <c r="E354" t="n">
        <v>149</v>
      </c>
      <c r="F354" t="inlineStr">
        <is>
          <t>UPI</t>
        </is>
      </c>
      <c r="G354" t="inlineStr">
        <is>
          <t>captured</t>
        </is>
      </c>
      <c r="H354" t="n">
        <v>35</v>
      </c>
      <c r="I354">
        <f>IFERROR(VLOOKUP(C354,Merchants!$A$2:$D$41,2,FALSE),"Merchant not found")</f>
        <v/>
      </c>
      <c r="J354">
        <f>IFERROR(VLOOKUP(C354,Merchants!$A$2:$D$41,3,FALSE),"Merchant not found")</f>
        <v/>
      </c>
      <c r="K354">
        <f>IFERROR(VLOOKUP(C354,Merchants!$A$2:$D$41,4,FALSE),"Merchant not found")</f>
        <v/>
      </c>
      <c r="L354" s="4">
        <f>HLOOKUP(F354,Fee_Tiers!$B$2:$E$3,2,FALSE)</f>
        <v/>
      </c>
      <c r="M354">
        <f>E354*L354</f>
        <v/>
      </c>
      <c r="N354" s="5" t="n">
        <v>46025</v>
      </c>
      <c r="O354">
        <f>C354&amp;"_"&amp;TEXT(N354,"yyyy-mm-dd")</f>
        <v/>
      </c>
      <c r="P354">
        <f>IFERROR(VLOOKUP(O354,Merchant_Day_Analysis!$A$5:$G$447,7,FALSE),"Not found")</f>
        <v/>
      </c>
    </row>
    <row r="355">
      <c r="A355" t="inlineStr">
        <is>
          <t>TXN100353</t>
        </is>
      </c>
      <c r="B355" t="n">
        <v>313</v>
      </c>
      <c r="C355" t="n">
        <v>8</v>
      </c>
      <c r="D355" s="6" t="n">
        <v>46049.82152777778</v>
      </c>
      <c r="E355" t="n">
        <v>1499</v>
      </c>
      <c r="F355" t="inlineStr">
        <is>
          <t>Netbanking</t>
        </is>
      </c>
      <c r="G355" t="inlineStr">
        <is>
          <t>captured</t>
        </is>
      </c>
      <c r="H355" t="n">
        <v>16</v>
      </c>
      <c r="I355">
        <f>IFERROR(VLOOKUP(C355,Merchants!$A$2:$D$41,2,FALSE),"Merchant not found")</f>
        <v/>
      </c>
      <c r="J355">
        <f>IFERROR(VLOOKUP(C355,Merchants!$A$2:$D$41,3,FALSE),"Merchant not found")</f>
        <v/>
      </c>
      <c r="K355">
        <f>IFERROR(VLOOKUP(C355,Merchants!$A$2:$D$41,4,FALSE),"Merchant not found")</f>
        <v/>
      </c>
      <c r="L355" s="4">
        <f>HLOOKUP(F355,Fee_Tiers!$B$2:$E$3,2,FALSE)</f>
        <v/>
      </c>
      <c r="M355">
        <f>E355*L355</f>
        <v/>
      </c>
      <c r="N355" s="5" t="n">
        <v>46049</v>
      </c>
      <c r="O355">
        <f>C355&amp;"_"&amp;TEXT(N355,"yyyy-mm-dd")</f>
        <v/>
      </c>
      <c r="P355">
        <f>IFERROR(VLOOKUP(O355,Merchant_Day_Analysis!$A$5:$G$447,7,FALSE),"Not found")</f>
        <v/>
      </c>
    </row>
    <row r="356">
      <c r="A356" t="inlineStr">
        <is>
          <t>TXN100354</t>
        </is>
      </c>
      <c r="B356" t="n">
        <v>174</v>
      </c>
      <c r="C356" t="n">
        <v>36</v>
      </c>
      <c r="D356" s="6" t="n">
        <v>46026.51597222222</v>
      </c>
      <c r="E356" t="n">
        <v>149</v>
      </c>
      <c r="F356" t="inlineStr">
        <is>
          <t>UPI</t>
        </is>
      </c>
      <c r="G356" t="inlineStr">
        <is>
          <t>captured</t>
        </is>
      </c>
      <c r="H356" t="n">
        <v>46</v>
      </c>
      <c r="I356">
        <f>IFERROR(VLOOKUP(C356,Merchants!$A$2:$D$41,2,FALSE),"Merchant not found")</f>
        <v/>
      </c>
      <c r="J356">
        <f>IFERROR(VLOOKUP(C356,Merchants!$A$2:$D$41,3,FALSE),"Merchant not found")</f>
        <v/>
      </c>
      <c r="K356">
        <f>IFERROR(VLOOKUP(C356,Merchants!$A$2:$D$41,4,FALSE),"Merchant not found")</f>
        <v/>
      </c>
      <c r="L356" s="4">
        <f>HLOOKUP(F356,Fee_Tiers!$B$2:$E$3,2,FALSE)</f>
        <v/>
      </c>
      <c r="M356">
        <f>E356*L356</f>
        <v/>
      </c>
      <c r="N356" s="5" t="n">
        <v>46026</v>
      </c>
      <c r="O356">
        <f>C356&amp;"_"&amp;TEXT(N356,"yyyy-mm-dd")</f>
        <v/>
      </c>
      <c r="P356">
        <f>IFERROR(VLOOKUP(O356,Merchant_Day_Analysis!$A$5:$G$447,7,FALSE),"Not found")</f>
        <v/>
      </c>
    </row>
    <row r="357">
      <c r="A357" t="inlineStr">
        <is>
          <t>TXN100355</t>
        </is>
      </c>
      <c r="B357" t="n">
        <v>309</v>
      </c>
      <c r="C357" t="n">
        <v>33</v>
      </c>
      <c r="D357" s="6" t="n">
        <v>46047.175</v>
      </c>
      <c r="E357" t="n">
        <v>99</v>
      </c>
      <c r="F357" t="inlineStr">
        <is>
          <t>UPI</t>
        </is>
      </c>
      <c r="G357" t="inlineStr">
        <is>
          <t>captured</t>
        </is>
      </c>
      <c r="H357" t="n">
        <v>51</v>
      </c>
      <c r="I357">
        <f>IFERROR(VLOOKUP(C357,Merchants!$A$2:$D$41,2,FALSE),"Merchant not found")</f>
        <v/>
      </c>
      <c r="J357">
        <f>IFERROR(VLOOKUP(C357,Merchants!$A$2:$D$41,3,FALSE),"Merchant not found")</f>
        <v/>
      </c>
      <c r="K357">
        <f>IFERROR(VLOOKUP(C357,Merchants!$A$2:$D$41,4,FALSE),"Merchant not found")</f>
        <v/>
      </c>
      <c r="L357" s="4">
        <f>HLOOKUP(F357,Fee_Tiers!$B$2:$E$3,2,FALSE)</f>
        <v/>
      </c>
      <c r="M357">
        <f>E357*L357</f>
        <v/>
      </c>
      <c r="N357" s="5" t="n">
        <v>46047</v>
      </c>
      <c r="O357">
        <f>C357&amp;"_"&amp;TEXT(N357,"yyyy-mm-dd")</f>
        <v/>
      </c>
      <c r="P357">
        <f>IFERROR(VLOOKUP(O357,Merchant_Day_Analysis!$A$5:$G$447,7,FALSE),"Not found")</f>
        <v/>
      </c>
    </row>
    <row r="358">
      <c r="A358" t="inlineStr">
        <is>
          <t>TXN100356</t>
        </is>
      </c>
      <c r="B358" t="n">
        <v>20</v>
      </c>
      <c r="C358" t="n">
        <v>9</v>
      </c>
      <c r="D358" s="6" t="n">
        <v>46039.04305555556</v>
      </c>
      <c r="E358" t="n">
        <v>99</v>
      </c>
      <c r="F358" t="inlineStr">
        <is>
          <t>UPI</t>
        </is>
      </c>
      <c r="G358" t="inlineStr">
        <is>
          <t>captured</t>
        </is>
      </c>
      <c r="H358" t="n">
        <v>91</v>
      </c>
      <c r="I358">
        <f>IFERROR(VLOOKUP(C358,Merchants!$A$2:$D$41,2,FALSE),"Merchant not found")</f>
        <v/>
      </c>
      <c r="J358">
        <f>IFERROR(VLOOKUP(C358,Merchants!$A$2:$D$41,3,FALSE),"Merchant not found")</f>
        <v/>
      </c>
      <c r="K358">
        <f>IFERROR(VLOOKUP(C358,Merchants!$A$2:$D$41,4,FALSE),"Merchant not found")</f>
        <v/>
      </c>
      <c r="L358" s="4">
        <f>HLOOKUP(F358,Fee_Tiers!$B$2:$E$3,2,FALSE)</f>
        <v/>
      </c>
      <c r="M358">
        <f>E358*L358</f>
        <v/>
      </c>
      <c r="N358" s="5" t="n">
        <v>46039</v>
      </c>
      <c r="O358">
        <f>C358&amp;"_"&amp;TEXT(N358,"yyyy-mm-dd")</f>
        <v/>
      </c>
      <c r="P358">
        <f>IFERROR(VLOOKUP(O358,Merchant_Day_Analysis!$A$5:$G$447,7,FALSE),"Not found")</f>
        <v/>
      </c>
    </row>
    <row r="359">
      <c r="A359" t="inlineStr">
        <is>
          <t>TXN100357</t>
        </is>
      </c>
      <c r="B359" t="n">
        <v>234</v>
      </c>
      <c r="C359" t="n">
        <v>10</v>
      </c>
      <c r="D359" s="6" t="n">
        <v>46033.64791666667</v>
      </c>
      <c r="E359" t="n">
        <v>49</v>
      </c>
      <c r="F359" t="inlineStr">
        <is>
          <t>UPI</t>
        </is>
      </c>
      <c r="G359" t="inlineStr">
        <is>
          <t>captured</t>
        </is>
      </c>
      <c r="H359" t="n">
        <v>77</v>
      </c>
      <c r="I359">
        <f>IFERROR(VLOOKUP(C359,Merchants!$A$2:$D$41,2,FALSE),"Merchant not found")</f>
        <v/>
      </c>
      <c r="J359">
        <f>IFERROR(VLOOKUP(C359,Merchants!$A$2:$D$41,3,FALSE),"Merchant not found")</f>
        <v/>
      </c>
      <c r="K359">
        <f>IFERROR(VLOOKUP(C359,Merchants!$A$2:$D$41,4,FALSE),"Merchant not found")</f>
        <v/>
      </c>
      <c r="L359" s="4">
        <f>HLOOKUP(F359,Fee_Tiers!$B$2:$E$3,2,FALSE)</f>
        <v/>
      </c>
      <c r="M359">
        <f>E359*L359</f>
        <v/>
      </c>
      <c r="N359" s="5" t="n">
        <v>46033</v>
      </c>
      <c r="O359">
        <f>C359&amp;"_"&amp;TEXT(N359,"yyyy-mm-dd")</f>
        <v/>
      </c>
      <c r="P359">
        <f>IFERROR(VLOOKUP(O359,Merchant_Day_Analysis!$A$5:$G$447,7,FALSE),"Not found")</f>
        <v/>
      </c>
    </row>
    <row r="360">
      <c r="A360" t="inlineStr">
        <is>
          <t>TXN100358</t>
        </is>
      </c>
      <c r="B360" t="n">
        <v>168</v>
      </c>
      <c r="C360" t="n">
        <v>40</v>
      </c>
      <c r="D360" s="6" t="n">
        <v>46051.67222222222</v>
      </c>
      <c r="E360" t="n">
        <v>149</v>
      </c>
      <c r="F360" t="inlineStr">
        <is>
          <t>UPI</t>
        </is>
      </c>
      <c r="G360" t="inlineStr">
        <is>
          <t>chargeback</t>
        </is>
      </c>
      <c r="H360" t="n">
        <v>40</v>
      </c>
      <c r="I360">
        <f>IFERROR(VLOOKUP(C360,Merchants!$A$2:$D$41,2,FALSE),"Merchant not found")</f>
        <v/>
      </c>
      <c r="J360">
        <f>IFERROR(VLOOKUP(C360,Merchants!$A$2:$D$41,3,FALSE),"Merchant not found")</f>
        <v/>
      </c>
      <c r="K360">
        <f>IFERROR(VLOOKUP(C360,Merchants!$A$2:$D$41,4,FALSE),"Merchant not found")</f>
        <v/>
      </c>
      <c r="L360" s="4">
        <f>HLOOKUP(F360,Fee_Tiers!$B$2:$E$3,2,FALSE)</f>
        <v/>
      </c>
      <c r="M360">
        <f>E360*L360</f>
        <v/>
      </c>
      <c r="N360" s="5" t="n">
        <v>46051</v>
      </c>
      <c r="O360">
        <f>C360&amp;"_"&amp;TEXT(N360,"yyyy-mm-dd")</f>
        <v/>
      </c>
      <c r="P360">
        <f>IFERROR(VLOOKUP(O360,Merchant_Day_Analysis!$A$5:$G$447,7,FALSE),"Not found")</f>
        <v/>
      </c>
    </row>
    <row r="361">
      <c r="A361" t="inlineStr">
        <is>
          <t>TXN100359</t>
        </is>
      </c>
      <c r="B361" t="n">
        <v>154</v>
      </c>
      <c r="C361" t="n">
        <v>38</v>
      </c>
      <c r="D361" s="6" t="n">
        <v>46028.52708333333</v>
      </c>
      <c r="E361" t="n">
        <v>99</v>
      </c>
      <c r="F361" t="inlineStr">
        <is>
          <t>Netbanking</t>
        </is>
      </c>
      <c r="G361" t="inlineStr">
        <is>
          <t>captured</t>
        </is>
      </c>
      <c r="H361" t="n">
        <v>43</v>
      </c>
      <c r="I361">
        <f>IFERROR(VLOOKUP(C361,Merchants!$A$2:$D$41,2,FALSE),"Merchant not found")</f>
        <v/>
      </c>
      <c r="J361">
        <f>IFERROR(VLOOKUP(C361,Merchants!$A$2:$D$41,3,FALSE),"Merchant not found")</f>
        <v/>
      </c>
      <c r="K361">
        <f>IFERROR(VLOOKUP(C361,Merchants!$A$2:$D$41,4,FALSE),"Merchant not found")</f>
        <v/>
      </c>
      <c r="L361" s="4">
        <f>HLOOKUP(F361,Fee_Tiers!$B$2:$E$3,2,FALSE)</f>
        <v/>
      </c>
      <c r="M361">
        <f>E361*L361</f>
        <v/>
      </c>
      <c r="N361" s="5" t="n">
        <v>46028</v>
      </c>
      <c r="O361">
        <f>C361&amp;"_"&amp;TEXT(N361,"yyyy-mm-dd")</f>
        <v/>
      </c>
      <c r="P361">
        <f>IFERROR(VLOOKUP(O361,Merchant_Day_Analysis!$A$5:$G$447,7,FALSE),"Not found")</f>
        <v/>
      </c>
    </row>
    <row r="362">
      <c r="A362" t="inlineStr">
        <is>
          <t>TXN100360</t>
        </is>
      </c>
      <c r="B362" t="n">
        <v>251</v>
      </c>
      <c r="C362" t="n">
        <v>37</v>
      </c>
      <c r="D362" s="6" t="n">
        <v>46039.69027777778</v>
      </c>
      <c r="E362" t="n">
        <v>49</v>
      </c>
      <c r="F362" t="inlineStr">
        <is>
          <t>UPI</t>
        </is>
      </c>
      <c r="G362" t="inlineStr">
        <is>
          <t>captured</t>
        </is>
      </c>
      <c r="H362" t="n">
        <v>38</v>
      </c>
      <c r="I362">
        <f>IFERROR(VLOOKUP(C362,Merchants!$A$2:$D$41,2,FALSE),"Merchant not found")</f>
        <v/>
      </c>
      <c r="J362">
        <f>IFERROR(VLOOKUP(C362,Merchants!$A$2:$D$41,3,FALSE),"Merchant not found")</f>
        <v/>
      </c>
      <c r="K362">
        <f>IFERROR(VLOOKUP(C362,Merchants!$A$2:$D$41,4,FALSE),"Merchant not found")</f>
        <v/>
      </c>
      <c r="L362" s="4">
        <f>HLOOKUP(F362,Fee_Tiers!$B$2:$E$3,2,FALSE)</f>
        <v/>
      </c>
      <c r="M362">
        <f>E362*L362</f>
        <v/>
      </c>
      <c r="N362" s="5" t="n">
        <v>46039</v>
      </c>
      <c r="O362">
        <f>C362&amp;"_"&amp;TEXT(N362,"yyyy-mm-dd")</f>
        <v/>
      </c>
      <c r="P362">
        <f>IFERROR(VLOOKUP(O362,Merchant_Day_Analysis!$A$5:$G$447,7,FALSE),"Not found")</f>
        <v/>
      </c>
    </row>
    <row r="363">
      <c r="A363" t="inlineStr">
        <is>
          <t>TXN100361</t>
        </is>
      </c>
      <c r="B363" t="n">
        <v>170</v>
      </c>
      <c r="C363" t="n">
        <v>8</v>
      </c>
      <c r="D363" s="6" t="n">
        <v>46038.01597222222</v>
      </c>
      <c r="E363" t="n">
        <v>2999</v>
      </c>
      <c r="F363" t="inlineStr">
        <is>
          <t>UPI</t>
        </is>
      </c>
      <c r="G363" t="inlineStr">
        <is>
          <t>captured</t>
        </is>
      </c>
      <c r="H363" t="n">
        <v>53</v>
      </c>
      <c r="I363">
        <f>IFERROR(VLOOKUP(C363,Merchants!$A$2:$D$41,2,FALSE),"Merchant not found")</f>
        <v/>
      </c>
      <c r="J363">
        <f>IFERROR(VLOOKUP(C363,Merchants!$A$2:$D$41,3,FALSE),"Merchant not found")</f>
        <v/>
      </c>
      <c r="K363">
        <f>IFERROR(VLOOKUP(C363,Merchants!$A$2:$D$41,4,FALSE),"Merchant not found")</f>
        <v/>
      </c>
      <c r="L363" s="4">
        <f>HLOOKUP(F363,Fee_Tiers!$B$2:$E$3,2,FALSE)</f>
        <v/>
      </c>
      <c r="M363">
        <f>E363*L363</f>
        <v/>
      </c>
      <c r="N363" s="5" t="n">
        <v>46038</v>
      </c>
      <c r="O363">
        <f>C363&amp;"_"&amp;TEXT(N363,"yyyy-mm-dd")</f>
        <v/>
      </c>
      <c r="P363">
        <f>IFERROR(VLOOKUP(O363,Merchant_Day_Analysis!$A$5:$G$447,7,FALSE),"Not found")</f>
        <v/>
      </c>
    </row>
    <row r="364">
      <c r="A364" t="inlineStr">
        <is>
          <t>TXN100362</t>
        </is>
      </c>
      <c r="B364" t="n">
        <v>323</v>
      </c>
      <c r="C364" t="n">
        <v>2</v>
      </c>
      <c r="D364" s="6" t="n">
        <v>46041.40972222222</v>
      </c>
      <c r="E364" t="n">
        <v>49</v>
      </c>
      <c r="F364" t="inlineStr">
        <is>
          <t>Netbanking</t>
        </is>
      </c>
      <c r="G364" t="inlineStr">
        <is>
          <t>captured</t>
        </is>
      </c>
      <c r="H364" t="n">
        <v>76</v>
      </c>
      <c r="I364">
        <f>IFERROR(VLOOKUP(C364,Merchants!$A$2:$D$41,2,FALSE),"Merchant not found")</f>
        <v/>
      </c>
      <c r="J364">
        <f>IFERROR(VLOOKUP(C364,Merchants!$A$2:$D$41,3,FALSE),"Merchant not found")</f>
        <v/>
      </c>
      <c r="K364">
        <f>IFERROR(VLOOKUP(C364,Merchants!$A$2:$D$41,4,FALSE),"Merchant not found")</f>
        <v/>
      </c>
      <c r="L364" s="4">
        <f>HLOOKUP(F364,Fee_Tiers!$B$2:$E$3,2,FALSE)</f>
        <v/>
      </c>
      <c r="M364">
        <f>E364*L364</f>
        <v/>
      </c>
      <c r="N364" s="5" t="n">
        <v>46041</v>
      </c>
      <c r="O364">
        <f>C364&amp;"_"&amp;TEXT(N364,"yyyy-mm-dd")</f>
        <v/>
      </c>
      <c r="P364">
        <f>IFERROR(VLOOKUP(O364,Merchant_Day_Analysis!$A$5:$G$447,7,FALSE),"Not found")</f>
        <v/>
      </c>
    </row>
    <row r="365">
      <c r="A365" t="inlineStr">
        <is>
          <t>TXN100363</t>
        </is>
      </c>
      <c r="B365" t="n">
        <v>297</v>
      </c>
      <c r="C365" t="n">
        <v>37</v>
      </c>
      <c r="D365" s="6" t="n">
        <v>46038.36180555556</v>
      </c>
      <c r="E365" t="n">
        <v>2999</v>
      </c>
      <c r="F365" t="inlineStr">
        <is>
          <t>Wallet</t>
        </is>
      </c>
      <c r="G365" t="inlineStr">
        <is>
          <t>captured</t>
        </is>
      </c>
      <c r="H365" t="n">
        <v>29</v>
      </c>
      <c r="I365">
        <f>IFERROR(VLOOKUP(C365,Merchants!$A$2:$D$41,2,FALSE),"Merchant not found")</f>
        <v/>
      </c>
      <c r="J365">
        <f>IFERROR(VLOOKUP(C365,Merchants!$A$2:$D$41,3,FALSE),"Merchant not found")</f>
        <v/>
      </c>
      <c r="K365">
        <f>IFERROR(VLOOKUP(C365,Merchants!$A$2:$D$41,4,FALSE),"Merchant not found")</f>
        <v/>
      </c>
      <c r="L365" s="4">
        <f>HLOOKUP(F365,Fee_Tiers!$B$2:$E$3,2,FALSE)</f>
        <v/>
      </c>
      <c r="M365">
        <f>E365*L365</f>
        <v/>
      </c>
      <c r="N365" s="5" t="n">
        <v>46038</v>
      </c>
      <c r="O365">
        <f>C365&amp;"_"&amp;TEXT(N365,"yyyy-mm-dd")</f>
        <v/>
      </c>
      <c r="P365">
        <f>IFERROR(VLOOKUP(O365,Merchant_Day_Analysis!$A$5:$G$447,7,FALSE),"Not found")</f>
        <v/>
      </c>
    </row>
    <row r="366">
      <c r="A366" t="inlineStr">
        <is>
          <t>TXN100364</t>
        </is>
      </c>
      <c r="B366" t="n">
        <v>246</v>
      </c>
      <c r="C366" t="n">
        <v>11</v>
      </c>
      <c r="D366" s="6" t="n">
        <v>46046.06736111111</v>
      </c>
      <c r="E366" t="n">
        <v>299</v>
      </c>
      <c r="F366" t="inlineStr">
        <is>
          <t>UPI</t>
        </is>
      </c>
      <c r="G366" t="inlineStr">
        <is>
          <t>captured</t>
        </is>
      </c>
      <c r="H366" t="n">
        <v>67</v>
      </c>
      <c r="I366">
        <f>IFERROR(VLOOKUP(C366,Merchants!$A$2:$D$41,2,FALSE),"Merchant not found")</f>
        <v/>
      </c>
      <c r="J366">
        <f>IFERROR(VLOOKUP(C366,Merchants!$A$2:$D$41,3,FALSE),"Merchant not found")</f>
        <v/>
      </c>
      <c r="K366">
        <f>IFERROR(VLOOKUP(C366,Merchants!$A$2:$D$41,4,FALSE),"Merchant not found")</f>
        <v/>
      </c>
      <c r="L366" s="4">
        <f>HLOOKUP(F366,Fee_Tiers!$B$2:$E$3,2,FALSE)</f>
        <v/>
      </c>
      <c r="M366">
        <f>E366*L366</f>
        <v/>
      </c>
      <c r="N366" s="5" t="n">
        <v>46046</v>
      </c>
      <c r="O366">
        <f>C366&amp;"_"&amp;TEXT(N366,"yyyy-mm-dd")</f>
        <v/>
      </c>
      <c r="P366">
        <f>IFERROR(VLOOKUP(O366,Merchant_Day_Analysis!$A$5:$G$447,7,FALSE),"Not found")</f>
        <v/>
      </c>
    </row>
    <row r="367">
      <c r="A367" t="inlineStr">
        <is>
          <t>TXN100365</t>
        </is>
      </c>
      <c r="B367" t="n">
        <v>195</v>
      </c>
      <c r="C367" t="n">
        <v>10</v>
      </c>
      <c r="D367" s="6" t="n">
        <v>46043.98541666667</v>
      </c>
      <c r="E367" t="n">
        <v>99</v>
      </c>
      <c r="F367" t="inlineStr">
        <is>
          <t>UPI</t>
        </is>
      </c>
      <c r="G367" t="inlineStr">
        <is>
          <t>captured</t>
        </is>
      </c>
      <c r="H367" t="n">
        <v>87</v>
      </c>
      <c r="I367">
        <f>IFERROR(VLOOKUP(C367,Merchants!$A$2:$D$41,2,FALSE),"Merchant not found")</f>
        <v/>
      </c>
      <c r="J367">
        <f>IFERROR(VLOOKUP(C367,Merchants!$A$2:$D$41,3,FALSE),"Merchant not found")</f>
        <v/>
      </c>
      <c r="K367">
        <f>IFERROR(VLOOKUP(C367,Merchants!$A$2:$D$41,4,FALSE),"Merchant not found")</f>
        <v/>
      </c>
      <c r="L367" s="4">
        <f>HLOOKUP(F367,Fee_Tiers!$B$2:$E$3,2,FALSE)</f>
        <v/>
      </c>
      <c r="M367">
        <f>E367*L367</f>
        <v/>
      </c>
      <c r="N367" s="5" t="n">
        <v>46043</v>
      </c>
      <c r="O367">
        <f>C367&amp;"_"&amp;TEXT(N367,"yyyy-mm-dd")</f>
        <v/>
      </c>
      <c r="P367">
        <f>IFERROR(VLOOKUP(O367,Merchant_Day_Analysis!$A$5:$G$447,7,FALSE),"Not found")</f>
        <v/>
      </c>
    </row>
    <row r="368">
      <c r="A368" t="inlineStr">
        <is>
          <t>TXN100366</t>
        </is>
      </c>
      <c r="B368" t="n">
        <v>57</v>
      </c>
      <c r="C368" t="n">
        <v>13</v>
      </c>
      <c r="D368" s="6" t="n">
        <v>46030.06666666667</v>
      </c>
      <c r="E368" t="n">
        <v>149</v>
      </c>
      <c r="F368" t="inlineStr">
        <is>
          <t>UPI</t>
        </is>
      </c>
      <c r="G368" t="inlineStr">
        <is>
          <t>captured</t>
        </is>
      </c>
      <c r="H368" t="n">
        <v>2</v>
      </c>
      <c r="I368">
        <f>IFERROR(VLOOKUP(C368,Merchants!$A$2:$D$41,2,FALSE),"Merchant not found")</f>
        <v/>
      </c>
      <c r="J368">
        <f>IFERROR(VLOOKUP(C368,Merchants!$A$2:$D$41,3,FALSE),"Merchant not found")</f>
        <v/>
      </c>
      <c r="K368">
        <f>IFERROR(VLOOKUP(C368,Merchants!$A$2:$D$41,4,FALSE),"Merchant not found")</f>
        <v/>
      </c>
      <c r="L368" s="4">
        <f>HLOOKUP(F368,Fee_Tiers!$B$2:$E$3,2,FALSE)</f>
        <v/>
      </c>
      <c r="M368">
        <f>E368*L368</f>
        <v/>
      </c>
      <c r="N368" s="5" t="n">
        <v>46030</v>
      </c>
      <c r="O368">
        <f>C368&amp;"_"&amp;TEXT(N368,"yyyy-mm-dd")</f>
        <v/>
      </c>
      <c r="P368">
        <f>IFERROR(VLOOKUP(O368,Merchant_Day_Analysis!$A$5:$G$447,7,FALSE),"Not found")</f>
        <v/>
      </c>
    </row>
    <row r="369">
      <c r="A369" t="inlineStr">
        <is>
          <t>TXN100367</t>
        </is>
      </c>
      <c r="B369" t="n">
        <v>78</v>
      </c>
      <c r="C369" t="n">
        <v>27</v>
      </c>
      <c r="D369" s="6" t="n">
        <v>46037.43472222222</v>
      </c>
      <c r="E369" t="n">
        <v>1499</v>
      </c>
      <c r="F369" t="inlineStr">
        <is>
          <t>Netbanking</t>
        </is>
      </c>
      <c r="G369" t="inlineStr">
        <is>
          <t>failed</t>
        </is>
      </c>
      <c r="H369" t="n">
        <v>88</v>
      </c>
      <c r="I369">
        <f>IFERROR(VLOOKUP(C369,Merchants!$A$2:$D$41,2,FALSE),"Merchant not found")</f>
        <v/>
      </c>
      <c r="J369">
        <f>IFERROR(VLOOKUP(C369,Merchants!$A$2:$D$41,3,FALSE),"Merchant not found")</f>
        <v/>
      </c>
      <c r="K369">
        <f>IFERROR(VLOOKUP(C369,Merchants!$A$2:$D$41,4,FALSE),"Merchant not found")</f>
        <v/>
      </c>
      <c r="L369" s="4">
        <f>HLOOKUP(F369,Fee_Tiers!$B$2:$E$3,2,FALSE)</f>
        <v/>
      </c>
      <c r="M369">
        <f>E369*L369</f>
        <v/>
      </c>
      <c r="N369" s="5" t="n">
        <v>46037</v>
      </c>
      <c r="O369">
        <f>C369&amp;"_"&amp;TEXT(N369,"yyyy-mm-dd")</f>
        <v/>
      </c>
      <c r="P369">
        <f>IFERROR(VLOOKUP(O369,Merchant_Day_Analysis!$A$5:$G$447,7,FALSE),"Not found")</f>
        <v/>
      </c>
    </row>
    <row r="370">
      <c r="A370" t="inlineStr">
        <is>
          <t>TXN100368</t>
        </is>
      </c>
      <c r="B370" t="n">
        <v>314</v>
      </c>
      <c r="C370" t="n">
        <v>31</v>
      </c>
      <c r="D370" s="6" t="n">
        <v>46029.56388888889</v>
      </c>
      <c r="E370" t="n">
        <v>49</v>
      </c>
      <c r="F370" t="inlineStr">
        <is>
          <t>UPI</t>
        </is>
      </c>
      <c r="G370" t="inlineStr">
        <is>
          <t>chargeback</t>
        </is>
      </c>
      <c r="H370" t="n">
        <v>94</v>
      </c>
      <c r="I370">
        <f>IFERROR(VLOOKUP(C370,Merchants!$A$2:$D$41,2,FALSE),"Merchant not found")</f>
        <v/>
      </c>
      <c r="J370">
        <f>IFERROR(VLOOKUP(C370,Merchants!$A$2:$D$41,3,FALSE),"Merchant not found")</f>
        <v/>
      </c>
      <c r="K370">
        <f>IFERROR(VLOOKUP(C370,Merchants!$A$2:$D$41,4,FALSE),"Merchant not found")</f>
        <v/>
      </c>
      <c r="L370" s="4">
        <f>HLOOKUP(F370,Fee_Tiers!$B$2:$E$3,2,FALSE)</f>
        <v/>
      </c>
      <c r="M370">
        <f>E370*L370</f>
        <v/>
      </c>
      <c r="N370" s="5" t="n">
        <v>46029</v>
      </c>
      <c r="O370">
        <f>C370&amp;"_"&amp;TEXT(N370,"yyyy-mm-dd")</f>
        <v/>
      </c>
      <c r="P370">
        <f>IFERROR(VLOOKUP(O370,Merchant_Day_Analysis!$A$5:$G$447,7,FALSE),"Not found")</f>
        <v/>
      </c>
    </row>
    <row r="371">
      <c r="A371" t="inlineStr">
        <is>
          <t>TXN100369</t>
        </is>
      </c>
      <c r="B371" t="n">
        <v>71</v>
      </c>
      <c r="C371" t="n">
        <v>34</v>
      </c>
      <c r="D371" s="6" t="n">
        <v>46046.07291666666</v>
      </c>
      <c r="E371" t="n">
        <v>499</v>
      </c>
      <c r="F371" t="inlineStr">
        <is>
          <t>UPI</t>
        </is>
      </c>
      <c r="G371" t="inlineStr">
        <is>
          <t>captured</t>
        </is>
      </c>
      <c r="H371" t="n">
        <v>26</v>
      </c>
      <c r="I371">
        <f>IFERROR(VLOOKUP(C371,Merchants!$A$2:$D$41,2,FALSE),"Merchant not found")</f>
        <v/>
      </c>
      <c r="J371">
        <f>IFERROR(VLOOKUP(C371,Merchants!$A$2:$D$41,3,FALSE),"Merchant not found")</f>
        <v/>
      </c>
      <c r="K371">
        <f>IFERROR(VLOOKUP(C371,Merchants!$A$2:$D$41,4,FALSE),"Merchant not found")</f>
        <v/>
      </c>
      <c r="L371" s="4">
        <f>HLOOKUP(F371,Fee_Tiers!$B$2:$E$3,2,FALSE)</f>
        <v/>
      </c>
      <c r="M371">
        <f>E371*L371</f>
        <v/>
      </c>
      <c r="N371" s="5" t="n">
        <v>46046</v>
      </c>
      <c r="O371">
        <f>C371&amp;"_"&amp;TEXT(N371,"yyyy-mm-dd")</f>
        <v/>
      </c>
      <c r="P371">
        <f>IFERROR(VLOOKUP(O371,Merchant_Day_Analysis!$A$5:$G$447,7,FALSE),"Not found")</f>
        <v/>
      </c>
    </row>
    <row r="372">
      <c r="A372" t="inlineStr">
        <is>
          <t>TXN100370</t>
        </is>
      </c>
      <c r="B372" t="n">
        <v>245</v>
      </c>
      <c r="C372" t="n">
        <v>34</v>
      </c>
      <c r="D372" s="6" t="n">
        <v>46040.44583333333</v>
      </c>
      <c r="E372" t="n">
        <v>99</v>
      </c>
      <c r="F372" t="inlineStr">
        <is>
          <t>UPI</t>
        </is>
      </c>
      <c r="G372" t="inlineStr">
        <is>
          <t>captured</t>
        </is>
      </c>
      <c r="H372" t="n">
        <v>48</v>
      </c>
      <c r="I372">
        <f>IFERROR(VLOOKUP(C372,Merchants!$A$2:$D$41,2,FALSE),"Merchant not found")</f>
        <v/>
      </c>
      <c r="J372">
        <f>IFERROR(VLOOKUP(C372,Merchants!$A$2:$D$41,3,FALSE),"Merchant not found")</f>
        <v/>
      </c>
      <c r="K372">
        <f>IFERROR(VLOOKUP(C372,Merchants!$A$2:$D$41,4,FALSE),"Merchant not found")</f>
        <v/>
      </c>
      <c r="L372" s="4">
        <f>HLOOKUP(F372,Fee_Tiers!$B$2:$E$3,2,FALSE)</f>
        <v/>
      </c>
      <c r="M372">
        <f>E372*L372</f>
        <v/>
      </c>
      <c r="N372" s="5" t="n">
        <v>46040</v>
      </c>
      <c r="O372">
        <f>C372&amp;"_"&amp;TEXT(N372,"yyyy-mm-dd")</f>
        <v/>
      </c>
      <c r="P372">
        <f>IFERROR(VLOOKUP(O372,Merchant_Day_Analysis!$A$5:$G$447,7,FALSE),"Not found")</f>
        <v/>
      </c>
    </row>
    <row r="373">
      <c r="A373" t="inlineStr">
        <is>
          <t>TXN100371</t>
        </is>
      </c>
      <c r="B373" t="n">
        <v>273</v>
      </c>
      <c r="C373" t="n">
        <v>22</v>
      </c>
      <c r="D373" s="6" t="n">
        <v>46033.22847222222</v>
      </c>
      <c r="E373" t="n">
        <v>299</v>
      </c>
      <c r="F373" t="inlineStr">
        <is>
          <t>Wallet</t>
        </is>
      </c>
      <c r="G373" t="inlineStr">
        <is>
          <t>captured</t>
        </is>
      </c>
      <c r="H373" t="n">
        <v>69</v>
      </c>
      <c r="I373">
        <f>IFERROR(VLOOKUP(C373,Merchants!$A$2:$D$41,2,FALSE),"Merchant not found")</f>
        <v/>
      </c>
      <c r="J373">
        <f>IFERROR(VLOOKUP(C373,Merchants!$A$2:$D$41,3,FALSE),"Merchant not found")</f>
        <v/>
      </c>
      <c r="K373">
        <f>IFERROR(VLOOKUP(C373,Merchants!$A$2:$D$41,4,FALSE),"Merchant not found")</f>
        <v/>
      </c>
      <c r="L373" s="4">
        <f>HLOOKUP(F373,Fee_Tiers!$B$2:$E$3,2,FALSE)</f>
        <v/>
      </c>
      <c r="M373">
        <f>E373*L373</f>
        <v/>
      </c>
      <c r="N373" s="5" t="n">
        <v>46033</v>
      </c>
      <c r="O373">
        <f>C373&amp;"_"&amp;TEXT(N373,"yyyy-mm-dd")</f>
        <v/>
      </c>
      <c r="P373">
        <f>IFERROR(VLOOKUP(O373,Merchant_Day_Analysis!$A$5:$G$447,7,FALSE),"Not found")</f>
        <v/>
      </c>
    </row>
    <row r="374">
      <c r="A374" t="inlineStr">
        <is>
          <t>TXN100372</t>
        </is>
      </c>
      <c r="B374" t="n">
        <v>349</v>
      </c>
      <c r="C374" t="n">
        <v>17</v>
      </c>
      <c r="D374" s="6" t="n">
        <v>46034.90902777778</v>
      </c>
      <c r="E374" t="n">
        <v>1499</v>
      </c>
      <c r="F374" t="inlineStr">
        <is>
          <t>UPI</t>
        </is>
      </c>
      <c r="G374" t="inlineStr">
        <is>
          <t>captured</t>
        </is>
      </c>
      <c r="H374" t="n">
        <v>78</v>
      </c>
      <c r="I374">
        <f>IFERROR(VLOOKUP(C374,Merchants!$A$2:$D$41,2,FALSE),"Merchant not found")</f>
        <v/>
      </c>
      <c r="J374">
        <f>IFERROR(VLOOKUP(C374,Merchants!$A$2:$D$41,3,FALSE),"Merchant not found")</f>
        <v/>
      </c>
      <c r="K374">
        <f>IFERROR(VLOOKUP(C374,Merchants!$A$2:$D$41,4,FALSE),"Merchant not found")</f>
        <v/>
      </c>
      <c r="L374" s="4">
        <f>HLOOKUP(F374,Fee_Tiers!$B$2:$E$3,2,FALSE)</f>
        <v/>
      </c>
      <c r="M374">
        <f>E374*L374</f>
        <v/>
      </c>
      <c r="N374" s="5" t="n">
        <v>46034</v>
      </c>
      <c r="O374">
        <f>C374&amp;"_"&amp;TEXT(N374,"yyyy-mm-dd")</f>
        <v/>
      </c>
      <c r="P374">
        <f>IFERROR(VLOOKUP(O374,Merchant_Day_Analysis!$A$5:$G$447,7,FALSE),"Not found")</f>
        <v/>
      </c>
    </row>
    <row r="375">
      <c r="A375" t="inlineStr">
        <is>
          <t>TXN100373</t>
        </is>
      </c>
      <c r="B375" t="n">
        <v>143</v>
      </c>
      <c r="C375" t="n">
        <v>36</v>
      </c>
      <c r="D375" s="6" t="n">
        <v>46038.26041666666</v>
      </c>
      <c r="E375" t="n">
        <v>1499</v>
      </c>
      <c r="F375" t="inlineStr">
        <is>
          <t>Netbanking</t>
        </is>
      </c>
      <c r="G375" t="inlineStr">
        <is>
          <t>captured</t>
        </is>
      </c>
      <c r="H375" t="n">
        <v>38</v>
      </c>
      <c r="I375">
        <f>IFERROR(VLOOKUP(C375,Merchants!$A$2:$D$41,2,FALSE),"Merchant not found")</f>
        <v/>
      </c>
      <c r="J375">
        <f>IFERROR(VLOOKUP(C375,Merchants!$A$2:$D$41,3,FALSE),"Merchant not found")</f>
        <v/>
      </c>
      <c r="K375">
        <f>IFERROR(VLOOKUP(C375,Merchants!$A$2:$D$41,4,FALSE),"Merchant not found")</f>
        <v/>
      </c>
      <c r="L375" s="4">
        <f>HLOOKUP(F375,Fee_Tiers!$B$2:$E$3,2,FALSE)</f>
        <v/>
      </c>
      <c r="M375">
        <f>E375*L375</f>
        <v/>
      </c>
      <c r="N375" s="5" t="n">
        <v>46038</v>
      </c>
      <c r="O375">
        <f>C375&amp;"_"&amp;TEXT(N375,"yyyy-mm-dd")</f>
        <v/>
      </c>
      <c r="P375">
        <f>IFERROR(VLOOKUP(O375,Merchant_Day_Analysis!$A$5:$G$447,7,FALSE),"Not found")</f>
        <v/>
      </c>
    </row>
    <row r="376">
      <c r="A376" t="inlineStr">
        <is>
          <t>TXN100374</t>
        </is>
      </c>
      <c r="B376" t="n">
        <v>148</v>
      </c>
      <c r="C376" t="n">
        <v>14</v>
      </c>
      <c r="D376" s="6" t="n">
        <v>46030.40902777778</v>
      </c>
      <c r="E376" t="n">
        <v>799</v>
      </c>
      <c r="F376" t="inlineStr">
        <is>
          <t>Wallet</t>
        </is>
      </c>
      <c r="G376" t="inlineStr">
        <is>
          <t>captured</t>
        </is>
      </c>
      <c r="H376" t="n">
        <v>88</v>
      </c>
      <c r="I376">
        <f>IFERROR(VLOOKUP(C376,Merchants!$A$2:$D$41,2,FALSE),"Merchant not found")</f>
        <v/>
      </c>
      <c r="J376">
        <f>IFERROR(VLOOKUP(C376,Merchants!$A$2:$D$41,3,FALSE),"Merchant not found")</f>
        <v/>
      </c>
      <c r="K376">
        <f>IFERROR(VLOOKUP(C376,Merchants!$A$2:$D$41,4,FALSE),"Merchant not found")</f>
        <v/>
      </c>
      <c r="L376" s="4">
        <f>HLOOKUP(F376,Fee_Tiers!$B$2:$E$3,2,FALSE)</f>
        <v/>
      </c>
      <c r="M376">
        <f>E376*L376</f>
        <v/>
      </c>
      <c r="N376" s="5" t="n">
        <v>46030</v>
      </c>
      <c r="O376">
        <f>C376&amp;"_"&amp;TEXT(N376,"yyyy-mm-dd")</f>
        <v/>
      </c>
      <c r="P376">
        <f>IFERROR(VLOOKUP(O376,Merchant_Day_Analysis!$A$5:$G$447,7,FALSE),"Not found")</f>
        <v/>
      </c>
    </row>
    <row r="377">
      <c r="A377" t="inlineStr">
        <is>
          <t>TXN100375</t>
        </is>
      </c>
      <c r="B377" t="n">
        <v>246</v>
      </c>
      <c r="C377" t="n">
        <v>23</v>
      </c>
      <c r="D377" s="6" t="n">
        <v>46045.63888888889</v>
      </c>
      <c r="E377" t="n">
        <v>49</v>
      </c>
      <c r="F377" t="inlineStr">
        <is>
          <t>UPI</t>
        </is>
      </c>
      <c r="G377" t="inlineStr">
        <is>
          <t>captured</t>
        </is>
      </c>
      <c r="H377" t="n">
        <v>71</v>
      </c>
      <c r="I377">
        <f>IFERROR(VLOOKUP(C377,Merchants!$A$2:$D$41,2,FALSE),"Merchant not found")</f>
        <v/>
      </c>
      <c r="J377">
        <f>IFERROR(VLOOKUP(C377,Merchants!$A$2:$D$41,3,FALSE),"Merchant not found")</f>
        <v/>
      </c>
      <c r="K377">
        <f>IFERROR(VLOOKUP(C377,Merchants!$A$2:$D$41,4,FALSE),"Merchant not found")</f>
        <v/>
      </c>
      <c r="L377" s="4">
        <f>HLOOKUP(F377,Fee_Tiers!$B$2:$E$3,2,FALSE)</f>
        <v/>
      </c>
      <c r="M377">
        <f>E377*L377</f>
        <v/>
      </c>
      <c r="N377" s="5" t="n">
        <v>46045</v>
      </c>
      <c r="O377">
        <f>C377&amp;"_"&amp;TEXT(N377,"yyyy-mm-dd")</f>
        <v/>
      </c>
      <c r="P377">
        <f>IFERROR(VLOOKUP(O377,Merchant_Day_Analysis!$A$5:$G$447,7,FALSE),"Not found")</f>
        <v/>
      </c>
    </row>
    <row r="378">
      <c r="A378" t="inlineStr">
        <is>
          <t>TXN100376</t>
        </is>
      </c>
      <c r="B378" t="n">
        <v>148</v>
      </c>
      <c r="C378" t="n">
        <v>8</v>
      </c>
      <c r="D378" s="6" t="n">
        <v>46052.97013888889</v>
      </c>
      <c r="E378" t="n">
        <v>99</v>
      </c>
      <c r="F378" t="inlineStr">
        <is>
          <t>Wallet</t>
        </is>
      </c>
      <c r="G378" t="inlineStr">
        <is>
          <t>captured</t>
        </is>
      </c>
      <c r="H378" t="n">
        <v>73</v>
      </c>
      <c r="I378">
        <f>IFERROR(VLOOKUP(C378,Merchants!$A$2:$D$41,2,FALSE),"Merchant not found")</f>
        <v/>
      </c>
      <c r="J378">
        <f>IFERROR(VLOOKUP(C378,Merchants!$A$2:$D$41,3,FALSE),"Merchant not found")</f>
        <v/>
      </c>
      <c r="K378">
        <f>IFERROR(VLOOKUP(C378,Merchants!$A$2:$D$41,4,FALSE),"Merchant not found")</f>
        <v/>
      </c>
      <c r="L378" s="4">
        <f>HLOOKUP(F378,Fee_Tiers!$B$2:$E$3,2,FALSE)</f>
        <v/>
      </c>
      <c r="M378">
        <f>E378*L378</f>
        <v/>
      </c>
      <c r="N378" s="5" t="n">
        <v>46052</v>
      </c>
      <c r="O378">
        <f>C378&amp;"_"&amp;TEXT(N378,"yyyy-mm-dd")</f>
        <v/>
      </c>
      <c r="P378">
        <f>IFERROR(VLOOKUP(O378,Merchant_Day_Analysis!$A$5:$G$447,7,FALSE),"Not found")</f>
        <v/>
      </c>
    </row>
    <row r="379">
      <c r="A379" t="inlineStr">
        <is>
          <t>TXN100377</t>
        </is>
      </c>
      <c r="B379" t="n">
        <v>203</v>
      </c>
      <c r="C379" t="n">
        <v>23</v>
      </c>
      <c r="D379" s="6" t="n">
        <v>46044.725</v>
      </c>
      <c r="E379" t="n">
        <v>49</v>
      </c>
      <c r="F379" t="inlineStr">
        <is>
          <t>UPI</t>
        </is>
      </c>
      <c r="G379" t="inlineStr">
        <is>
          <t>captured</t>
        </is>
      </c>
      <c r="H379" t="n">
        <v>98</v>
      </c>
      <c r="I379">
        <f>IFERROR(VLOOKUP(C379,Merchants!$A$2:$D$41,2,FALSE),"Merchant not found")</f>
        <v/>
      </c>
      <c r="J379">
        <f>IFERROR(VLOOKUP(C379,Merchants!$A$2:$D$41,3,FALSE),"Merchant not found")</f>
        <v/>
      </c>
      <c r="K379">
        <f>IFERROR(VLOOKUP(C379,Merchants!$A$2:$D$41,4,FALSE),"Merchant not found")</f>
        <v/>
      </c>
      <c r="L379" s="4">
        <f>HLOOKUP(F379,Fee_Tiers!$B$2:$E$3,2,FALSE)</f>
        <v/>
      </c>
      <c r="M379">
        <f>E379*L379</f>
        <v/>
      </c>
      <c r="N379" s="5" t="n">
        <v>46044</v>
      </c>
      <c r="O379">
        <f>C379&amp;"_"&amp;TEXT(N379,"yyyy-mm-dd")</f>
        <v/>
      </c>
      <c r="P379">
        <f>IFERROR(VLOOKUP(O379,Merchant_Day_Analysis!$A$5:$G$447,7,FALSE),"Not found")</f>
        <v/>
      </c>
    </row>
    <row r="380">
      <c r="A380" t="inlineStr">
        <is>
          <t>TXN100378</t>
        </is>
      </c>
      <c r="B380" t="n">
        <v>22</v>
      </c>
      <c r="C380" t="n">
        <v>19</v>
      </c>
      <c r="D380" s="6" t="n">
        <v>46048.17916666667</v>
      </c>
      <c r="E380" t="n">
        <v>49</v>
      </c>
      <c r="F380" t="inlineStr">
        <is>
          <t>Card</t>
        </is>
      </c>
      <c r="G380" t="inlineStr">
        <is>
          <t>captured</t>
        </is>
      </c>
      <c r="H380" t="n">
        <v>91</v>
      </c>
      <c r="I380">
        <f>IFERROR(VLOOKUP(C380,Merchants!$A$2:$D$41,2,FALSE),"Merchant not found")</f>
        <v/>
      </c>
      <c r="J380">
        <f>IFERROR(VLOOKUP(C380,Merchants!$A$2:$D$41,3,FALSE),"Merchant not found")</f>
        <v/>
      </c>
      <c r="K380">
        <f>IFERROR(VLOOKUP(C380,Merchants!$A$2:$D$41,4,FALSE),"Merchant not found")</f>
        <v/>
      </c>
      <c r="L380" s="4">
        <f>HLOOKUP(F380,Fee_Tiers!$B$2:$E$3,2,FALSE)</f>
        <v/>
      </c>
      <c r="M380">
        <f>E380*L380</f>
        <v/>
      </c>
      <c r="N380" s="5" t="n">
        <v>46048</v>
      </c>
      <c r="O380">
        <f>C380&amp;"_"&amp;TEXT(N380,"yyyy-mm-dd")</f>
        <v/>
      </c>
      <c r="P380">
        <f>IFERROR(VLOOKUP(O380,Merchant_Day_Analysis!$A$5:$G$447,7,FALSE),"Not found")</f>
        <v/>
      </c>
    </row>
    <row r="381">
      <c r="A381" t="inlineStr">
        <is>
          <t>TXN100379</t>
        </is>
      </c>
      <c r="B381" t="n">
        <v>227</v>
      </c>
      <c r="C381" t="n">
        <v>17</v>
      </c>
      <c r="D381" s="6" t="n">
        <v>46025.49930555555</v>
      </c>
      <c r="E381" t="n">
        <v>299</v>
      </c>
      <c r="F381" t="inlineStr">
        <is>
          <t>Wallet</t>
        </is>
      </c>
      <c r="G381" t="inlineStr">
        <is>
          <t>captured</t>
        </is>
      </c>
      <c r="H381" t="n">
        <v>95</v>
      </c>
      <c r="I381">
        <f>IFERROR(VLOOKUP(C381,Merchants!$A$2:$D$41,2,FALSE),"Merchant not found")</f>
        <v/>
      </c>
      <c r="J381">
        <f>IFERROR(VLOOKUP(C381,Merchants!$A$2:$D$41,3,FALSE),"Merchant not found")</f>
        <v/>
      </c>
      <c r="K381">
        <f>IFERROR(VLOOKUP(C381,Merchants!$A$2:$D$41,4,FALSE),"Merchant not found")</f>
        <v/>
      </c>
      <c r="L381" s="4">
        <f>HLOOKUP(F381,Fee_Tiers!$B$2:$E$3,2,FALSE)</f>
        <v/>
      </c>
      <c r="M381">
        <f>E381*L381</f>
        <v/>
      </c>
      <c r="N381" s="5" t="n">
        <v>46025</v>
      </c>
      <c r="O381">
        <f>C381&amp;"_"&amp;TEXT(N381,"yyyy-mm-dd")</f>
        <v/>
      </c>
      <c r="P381">
        <f>IFERROR(VLOOKUP(O381,Merchant_Day_Analysis!$A$5:$G$447,7,FALSE),"Not found")</f>
        <v/>
      </c>
    </row>
    <row r="382">
      <c r="A382" t="inlineStr">
        <is>
          <t>TXN100380</t>
        </is>
      </c>
      <c r="B382" t="n">
        <v>276</v>
      </c>
      <c r="C382" t="n">
        <v>18</v>
      </c>
      <c r="D382" s="6" t="n">
        <v>46038.25833333333</v>
      </c>
      <c r="E382" t="n">
        <v>149</v>
      </c>
      <c r="F382" t="inlineStr">
        <is>
          <t>Wallet</t>
        </is>
      </c>
      <c r="G382" t="inlineStr">
        <is>
          <t>captured</t>
        </is>
      </c>
      <c r="H382" t="n">
        <v>71</v>
      </c>
      <c r="I382">
        <f>IFERROR(VLOOKUP(C382,Merchants!$A$2:$D$41,2,FALSE),"Merchant not found")</f>
        <v/>
      </c>
      <c r="J382">
        <f>IFERROR(VLOOKUP(C382,Merchants!$A$2:$D$41,3,FALSE),"Merchant not found")</f>
        <v/>
      </c>
      <c r="K382">
        <f>IFERROR(VLOOKUP(C382,Merchants!$A$2:$D$41,4,FALSE),"Merchant not found")</f>
        <v/>
      </c>
      <c r="L382" s="4">
        <f>HLOOKUP(F382,Fee_Tiers!$B$2:$E$3,2,FALSE)</f>
        <v/>
      </c>
      <c r="M382">
        <f>E382*L382</f>
        <v/>
      </c>
      <c r="N382" s="5" t="n">
        <v>46038</v>
      </c>
      <c r="O382">
        <f>C382&amp;"_"&amp;TEXT(N382,"yyyy-mm-dd")</f>
        <v/>
      </c>
      <c r="P382">
        <f>IFERROR(VLOOKUP(O382,Merchant_Day_Analysis!$A$5:$G$447,7,FALSE),"Not found")</f>
        <v/>
      </c>
    </row>
    <row r="383">
      <c r="A383" t="inlineStr">
        <is>
          <t>TXN100381</t>
        </is>
      </c>
      <c r="B383" t="n">
        <v>56</v>
      </c>
      <c r="C383" t="n">
        <v>40</v>
      </c>
      <c r="D383" s="6" t="n">
        <v>46045.33888888889</v>
      </c>
      <c r="E383" t="n">
        <v>99</v>
      </c>
      <c r="F383" t="inlineStr">
        <is>
          <t>Card</t>
        </is>
      </c>
      <c r="G383" t="inlineStr">
        <is>
          <t>captured</t>
        </is>
      </c>
      <c r="H383" t="n">
        <v>94</v>
      </c>
      <c r="I383">
        <f>IFERROR(VLOOKUP(C383,Merchants!$A$2:$D$41,2,FALSE),"Merchant not found")</f>
        <v/>
      </c>
      <c r="J383">
        <f>IFERROR(VLOOKUP(C383,Merchants!$A$2:$D$41,3,FALSE),"Merchant not found")</f>
        <v/>
      </c>
      <c r="K383">
        <f>IFERROR(VLOOKUP(C383,Merchants!$A$2:$D$41,4,FALSE),"Merchant not found")</f>
        <v/>
      </c>
      <c r="L383" s="4">
        <f>HLOOKUP(F383,Fee_Tiers!$B$2:$E$3,2,FALSE)</f>
        <v/>
      </c>
      <c r="M383">
        <f>E383*L383</f>
        <v/>
      </c>
      <c r="N383" s="5" t="n">
        <v>46045</v>
      </c>
      <c r="O383">
        <f>C383&amp;"_"&amp;TEXT(N383,"yyyy-mm-dd")</f>
        <v/>
      </c>
      <c r="P383">
        <f>IFERROR(VLOOKUP(O383,Merchant_Day_Analysis!$A$5:$G$447,7,FALSE),"Not found")</f>
        <v/>
      </c>
    </row>
    <row r="384">
      <c r="A384" t="inlineStr">
        <is>
          <t>TXN100382</t>
        </is>
      </c>
      <c r="B384" t="n">
        <v>26</v>
      </c>
      <c r="C384" t="n">
        <v>34</v>
      </c>
      <c r="D384" s="6" t="n">
        <v>46041.30208333334</v>
      </c>
      <c r="E384" t="n">
        <v>499</v>
      </c>
      <c r="F384" t="inlineStr">
        <is>
          <t>Card</t>
        </is>
      </c>
      <c r="G384" t="inlineStr">
        <is>
          <t>captured</t>
        </is>
      </c>
      <c r="H384" t="n">
        <v>28</v>
      </c>
      <c r="I384">
        <f>IFERROR(VLOOKUP(C384,Merchants!$A$2:$D$41,2,FALSE),"Merchant not found")</f>
        <v/>
      </c>
      <c r="J384">
        <f>IFERROR(VLOOKUP(C384,Merchants!$A$2:$D$41,3,FALSE),"Merchant not found")</f>
        <v/>
      </c>
      <c r="K384">
        <f>IFERROR(VLOOKUP(C384,Merchants!$A$2:$D$41,4,FALSE),"Merchant not found")</f>
        <v/>
      </c>
      <c r="L384" s="4">
        <f>HLOOKUP(F384,Fee_Tiers!$B$2:$E$3,2,FALSE)</f>
        <v/>
      </c>
      <c r="M384">
        <f>E384*L384</f>
        <v/>
      </c>
      <c r="N384" s="5" t="n">
        <v>46041</v>
      </c>
      <c r="O384">
        <f>C384&amp;"_"&amp;TEXT(N384,"yyyy-mm-dd")</f>
        <v/>
      </c>
      <c r="P384">
        <f>IFERROR(VLOOKUP(O384,Merchant_Day_Analysis!$A$5:$G$447,7,FALSE),"Not found")</f>
        <v/>
      </c>
    </row>
    <row r="385">
      <c r="A385" t="inlineStr">
        <is>
          <t>TXN100383</t>
        </is>
      </c>
      <c r="B385" t="n">
        <v>52</v>
      </c>
      <c r="C385" t="n">
        <v>27</v>
      </c>
      <c r="D385" s="6" t="n">
        <v>46043.29375</v>
      </c>
      <c r="E385" t="n">
        <v>499</v>
      </c>
      <c r="F385" t="inlineStr">
        <is>
          <t>Card</t>
        </is>
      </c>
      <c r="G385" t="inlineStr">
        <is>
          <t>captured</t>
        </is>
      </c>
      <c r="H385" t="n">
        <v>42</v>
      </c>
      <c r="I385">
        <f>IFERROR(VLOOKUP(C385,Merchants!$A$2:$D$41,2,FALSE),"Merchant not found")</f>
        <v/>
      </c>
      <c r="J385">
        <f>IFERROR(VLOOKUP(C385,Merchants!$A$2:$D$41,3,FALSE),"Merchant not found")</f>
        <v/>
      </c>
      <c r="K385">
        <f>IFERROR(VLOOKUP(C385,Merchants!$A$2:$D$41,4,FALSE),"Merchant not found")</f>
        <v/>
      </c>
      <c r="L385" s="4">
        <f>HLOOKUP(F385,Fee_Tiers!$B$2:$E$3,2,FALSE)</f>
        <v/>
      </c>
      <c r="M385">
        <f>E385*L385</f>
        <v/>
      </c>
      <c r="N385" s="5" t="n">
        <v>46043</v>
      </c>
      <c r="O385">
        <f>C385&amp;"_"&amp;TEXT(N385,"yyyy-mm-dd")</f>
        <v/>
      </c>
      <c r="P385">
        <f>IFERROR(VLOOKUP(O385,Merchant_Day_Analysis!$A$5:$G$447,7,FALSE),"Not found")</f>
        <v/>
      </c>
    </row>
    <row r="386">
      <c r="A386" t="inlineStr">
        <is>
          <t>TXN100384</t>
        </is>
      </c>
      <c r="B386" t="n">
        <v>349</v>
      </c>
      <c r="C386" t="n">
        <v>9</v>
      </c>
      <c r="D386" s="6" t="n">
        <v>46045.62916666667</v>
      </c>
      <c r="E386" t="n">
        <v>499</v>
      </c>
      <c r="F386" t="inlineStr">
        <is>
          <t>Wallet</t>
        </is>
      </c>
      <c r="G386" t="inlineStr">
        <is>
          <t>captured</t>
        </is>
      </c>
      <c r="H386" t="n">
        <v>0</v>
      </c>
      <c r="I386">
        <f>IFERROR(VLOOKUP(C386,Merchants!$A$2:$D$41,2,FALSE),"Merchant not found")</f>
        <v/>
      </c>
      <c r="J386">
        <f>IFERROR(VLOOKUP(C386,Merchants!$A$2:$D$41,3,FALSE),"Merchant not found")</f>
        <v/>
      </c>
      <c r="K386">
        <f>IFERROR(VLOOKUP(C386,Merchants!$A$2:$D$41,4,FALSE),"Merchant not found")</f>
        <v/>
      </c>
      <c r="L386" s="4">
        <f>HLOOKUP(F386,Fee_Tiers!$B$2:$E$3,2,FALSE)</f>
        <v/>
      </c>
      <c r="M386">
        <f>E386*L386</f>
        <v/>
      </c>
      <c r="N386" s="5" t="n">
        <v>46045</v>
      </c>
      <c r="O386">
        <f>C386&amp;"_"&amp;TEXT(N386,"yyyy-mm-dd")</f>
        <v/>
      </c>
      <c r="P386">
        <f>IFERROR(VLOOKUP(O386,Merchant_Day_Analysis!$A$5:$G$447,7,FALSE),"Not found")</f>
        <v/>
      </c>
    </row>
    <row r="387">
      <c r="A387" t="inlineStr">
        <is>
          <t>TXN100385</t>
        </is>
      </c>
      <c r="B387" t="n">
        <v>335</v>
      </c>
      <c r="C387" t="n">
        <v>31</v>
      </c>
      <c r="D387" s="6" t="n">
        <v>46040.22638888889</v>
      </c>
      <c r="E387" t="n">
        <v>49</v>
      </c>
      <c r="F387" t="inlineStr">
        <is>
          <t>Card</t>
        </is>
      </c>
      <c r="G387" t="inlineStr">
        <is>
          <t>captured</t>
        </is>
      </c>
      <c r="H387" t="n">
        <v>61</v>
      </c>
      <c r="I387">
        <f>IFERROR(VLOOKUP(C387,Merchants!$A$2:$D$41,2,FALSE),"Merchant not found")</f>
        <v/>
      </c>
      <c r="J387">
        <f>IFERROR(VLOOKUP(C387,Merchants!$A$2:$D$41,3,FALSE),"Merchant not found")</f>
        <v/>
      </c>
      <c r="K387">
        <f>IFERROR(VLOOKUP(C387,Merchants!$A$2:$D$41,4,FALSE),"Merchant not found")</f>
        <v/>
      </c>
      <c r="L387" s="4">
        <f>HLOOKUP(F387,Fee_Tiers!$B$2:$E$3,2,FALSE)</f>
        <v/>
      </c>
      <c r="M387">
        <f>E387*L387</f>
        <v/>
      </c>
      <c r="N387" s="5" t="n">
        <v>46040</v>
      </c>
      <c r="O387">
        <f>C387&amp;"_"&amp;TEXT(N387,"yyyy-mm-dd")</f>
        <v/>
      </c>
      <c r="P387">
        <f>IFERROR(VLOOKUP(O387,Merchant_Day_Analysis!$A$5:$G$447,7,FALSE),"Not found")</f>
        <v/>
      </c>
    </row>
    <row r="388">
      <c r="A388" t="inlineStr">
        <is>
          <t>TXN100386</t>
        </is>
      </c>
      <c r="B388" t="n">
        <v>148</v>
      </c>
      <c r="C388" t="n">
        <v>21</v>
      </c>
      <c r="D388" s="6" t="n">
        <v>46043.28333333333</v>
      </c>
      <c r="E388" t="n">
        <v>49</v>
      </c>
      <c r="F388" t="inlineStr">
        <is>
          <t>Card</t>
        </is>
      </c>
      <c r="G388" t="inlineStr">
        <is>
          <t>captured</t>
        </is>
      </c>
      <c r="H388" t="n">
        <v>36</v>
      </c>
      <c r="I388">
        <f>IFERROR(VLOOKUP(C388,Merchants!$A$2:$D$41,2,FALSE),"Merchant not found")</f>
        <v/>
      </c>
      <c r="J388">
        <f>IFERROR(VLOOKUP(C388,Merchants!$A$2:$D$41,3,FALSE),"Merchant not found")</f>
        <v/>
      </c>
      <c r="K388">
        <f>IFERROR(VLOOKUP(C388,Merchants!$A$2:$D$41,4,FALSE),"Merchant not found")</f>
        <v/>
      </c>
      <c r="L388" s="4">
        <f>HLOOKUP(F388,Fee_Tiers!$B$2:$E$3,2,FALSE)</f>
        <v/>
      </c>
      <c r="M388">
        <f>E388*L388</f>
        <v/>
      </c>
      <c r="N388" s="5" t="n">
        <v>46043</v>
      </c>
      <c r="O388">
        <f>C388&amp;"_"&amp;TEXT(N388,"yyyy-mm-dd")</f>
        <v/>
      </c>
      <c r="P388">
        <f>IFERROR(VLOOKUP(O388,Merchant_Day_Analysis!$A$5:$G$447,7,FALSE),"Not found")</f>
        <v/>
      </c>
    </row>
    <row r="389">
      <c r="A389" t="inlineStr">
        <is>
          <t>TXN100387</t>
        </is>
      </c>
      <c r="B389" t="n">
        <v>46</v>
      </c>
      <c r="C389" t="n">
        <v>37</v>
      </c>
      <c r="D389" s="6" t="n">
        <v>46043.08194444444</v>
      </c>
      <c r="E389" t="n">
        <v>99</v>
      </c>
      <c r="F389" t="inlineStr">
        <is>
          <t>Wallet</t>
        </is>
      </c>
      <c r="G389" t="inlineStr">
        <is>
          <t>captured</t>
        </is>
      </c>
      <c r="H389" t="n">
        <v>29</v>
      </c>
      <c r="I389">
        <f>IFERROR(VLOOKUP(C389,Merchants!$A$2:$D$41,2,FALSE),"Merchant not found")</f>
        <v/>
      </c>
      <c r="J389">
        <f>IFERROR(VLOOKUP(C389,Merchants!$A$2:$D$41,3,FALSE),"Merchant not found")</f>
        <v/>
      </c>
      <c r="K389">
        <f>IFERROR(VLOOKUP(C389,Merchants!$A$2:$D$41,4,FALSE),"Merchant not found")</f>
        <v/>
      </c>
      <c r="L389" s="4">
        <f>HLOOKUP(F389,Fee_Tiers!$B$2:$E$3,2,FALSE)</f>
        <v/>
      </c>
      <c r="M389">
        <f>E389*L389</f>
        <v/>
      </c>
      <c r="N389" s="5" t="n">
        <v>46043</v>
      </c>
      <c r="O389">
        <f>C389&amp;"_"&amp;TEXT(N389,"yyyy-mm-dd")</f>
        <v/>
      </c>
      <c r="P389">
        <f>IFERROR(VLOOKUP(O389,Merchant_Day_Analysis!$A$5:$G$447,7,FALSE),"Not found")</f>
        <v/>
      </c>
    </row>
    <row r="390">
      <c r="A390" t="inlineStr">
        <is>
          <t>TXN100388</t>
        </is>
      </c>
      <c r="B390" t="n">
        <v>20</v>
      </c>
      <c r="C390" t="n">
        <v>12</v>
      </c>
      <c r="D390" s="6" t="n">
        <v>46040.99027777778</v>
      </c>
      <c r="E390" t="n">
        <v>799</v>
      </c>
      <c r="F390" t="inlineStr">
        <is>
          <t>Card</t>
        </is>
      </c>
      <c r="G390" t="inlineStr">
        <is>
          <t>captured</t>
        </is>
      </c>
      <c r="H390" t="n">
        <v>53</v>
      </c>
      <c r="I390">
        <f>IFERROR(VLOOKUP(C390,Merchants!$A$2:$D$41,2,FALSE),"Merchant not found")</f>
        <v/>
      </c>
      <c r="J390">
        <f>IFERROR(VLOOKUP(C390,Merchants!$A$2:$D$41,3,FALSE),"Merchant not found")</f>
        <v/>
      </c>
      <c r="K390">
        <f>IFERROR(VLOOKUP(C390,Merchants!$A$2:$D$41,4,FALSE),"Merchant not found")</f>
        <v/>
      </c>
      <c r="L390" s="4">
        <f>HLOOKUP(F390,Fee_Tiers!$B$2:$E$3,2,FALSE)</f>
        <v/>
      </c>
      <c r="M390">
        <f>E390*L390</f>
        <v/>
      </c>
      <c r="N390" s="5" t="n">
        <v>46040</v>
      </c>
      <c r="O390">
        <f>C390&amp;"_"&amp;TEXT(N390,"yyyy-mm-dd")</f>
        <v/>
      </c>
      <c r="P390">
        <f>IFERROR(VLOOKUP(O390,Merchant_Day_Analysis!$A$5:$G$447,7,FALSE),"Not found")</f>
        <v/>
      </c>
    </row>
    <row r="391">
      <c r="A391" t="inlineStr">
        <is>
          <t>TXN100389</t>
        </is>
      </c>
      <c r="B391" t="n">
        <v>19</v>
      </c>
      <c r="C391" t="n">
        <v>26</v>
      </c>
      <c r="D391" s="6" t="n">
        <v>46051.24930555555</v>
      </c>
      <c r="E391" t="n">
        <v>49</v>
      </c>
      <c r="F391" t="inlineStr">
        <is>
          <t>UPI</t>
        </is>
      </c>
      <c r="G391" t="inlineStr">
        <is>
          <t>captured</t>
        </is>
      </c>
      <c r="H391" t="n">
        <v>100</v>
      </c>
      <c r="I391">
        <f>IFERROR(VLOOKUP(C391,Merchants!$A$2:$D$41,2,FALSE),"Merchant not found")</f>
        <v/>
      </c>
      <c r="J391">
        <f>IFERROR(VLOOKUP(C391,Merchants!$A$2:$D$41,3,FALSE),"Merchant not found")</f>
        <v/>
      </c>
      <c r="K391">
        <f>IFERROR(VLOOKUP(C391,Merchants!$A$2:$D$41,4,FALSE),"Merchant not found")</f>
        <v/>
      </c>
      <c r="L391" s="4">
        <f>HLOOKUP(F391,Fee_Tiers!$B$2:$E$3,2,FALSE)</f>
        <v/>
      </c>
      <c r="M391">
        <f>E391*L391</f>
        <v/>
      </c>
      <c r="N391" s="5" t="n">
        <v>46051</v>
      </c>
      <c r="O391">
        <f>C391&amp;"_"&amp;TEXT(N391,"yyyy-mm-dd")</f>
        <v/>
      </c>
      <c r="P391">
        <f>IFERROR(VLOOKUP(O391,Merchant_Day_Analysis!$A$5:$G$447,7,FALSE),"Not found")</f>
        <v/>
      </c>
    </row>
    <row r="392">
      <c r="A392" t="inlineStr">
        <is>
          <t>TXN100390</t>
        </is>
      </c>
      <c r="B392" t="n">
        <v>149</v>
      </c>
      <c r="C392" t="n">
        <v>3</v>
      </c>
      <c r="D392" s="6" t="n">
        <v>46038.24930555555</v>
      </c>
      <c r="E392" t="n">
        <v>4999</v>
      </c>
      <c r="F392" t="inlineStr">
        <is>
          <t>Wallet</t>
        </is>
      </c>
      <c r="G392" t="inlineStr">
        <is>
          <t>captured</t>
        </is>
      </c>
      <c r="H392" t="n">
        <v>1</v>
      </c>
      <c r="I392">
        <f>IFERROR(VLOOKUP(C392,Merchants!$A$2:$D$41,2,FALSE),"Merchant not found")</f>
        <v/>
      </c>
      <c r="J392">
        <f>IFERROR(VLOOKUP(C392,Merchants!$A$2:$D$41,3,FALSE),"Merchant not found")</f>
        <v/>
      </c>
      <c r="K392">
        <f>IFERROR(VLOOKUP(C392,Merchants!$A$2:$D$41,4,FALSE),"Merchant not found")</f>
        <v/>
      </c>
      <c r="L392" s="4">
        <f>HLOOKUP(F392,Fee_Tiers!$B$2:$E$3,2,FALSE)</f>
        <v/>
      </c>
      <c r="M392">
        <f>E392*L392</f>
        <v/>
      </c>
      <c r="N392" s="5" t="n">
        <v>46038</v>
      </c>
      <c r="O392">
        <f>C392&amp;"_"&amp;TEXT(N392,"yyyy-mm-dd")</f>
        <v/>
      </c>
      <c r="P392">
        <f>IFERROR(VLOOKUP(O392,Merchant_Day_Analysis!$A$5:$G$447,7,FALSE),"Not found")</f>
        <v/>
      </c>
    </row>
    <row r="393">
      <c r="A393" t="inlineStr">
        <is>
          <t>TXN100391</t>
        </is>
      </c>
      <c r="B393" t="n">
        <v>55</v>
      </c>
      <c r="C393" t="n">
        <v>22</v>
      </c>
      <c r="D393" s="6" t="n">
        <v>46032.77638888889</v>
      </c>
      <c r="E393" t="n">
        <v>499</v>
      </c>
      <c r="F393" t="inlineStr">
        <is>
          <t>UPI</t>
        </is>
      </c>
      <c r="G393" t="inlineStr">
        <is>
          <t>captured</t>
        </is>
      </c>
      <c r="H393" t="n">
        <v>36</v>
      </c>
      <c r="I393">
        <f>IFERROR(VLOOKUP(C393,Merchants!$A$2:$D$41,2,FALSE),"Merchant not found")</f>
        <v/>
      </c>
      <c r="J393">
        <f>IFERROR(VLOOKUP(C393,Merchants!$A$2:$D$41,3,FALSE),"Merchant not found")</f>
        <v/>
      </c>
      <c r="K393">
        <f>IFERROR(VLOOKUP(C393,Merchants!$A$2:$D$41,4,FALSE),"Merchant not found")</f>
        <v/>
      </c>
      <c r="L393" s="4">
        <f>HLOOKUP(F393,Fee_Tiers!$B$2:$E$3,2,FALSE)</f>
        <v/>
      </c>
      <c r="M393">
        <f>E393*L393</f>
        <v/>
      </c>
      <c r="N393" s="5" t="n">
        <v>46032</v>
      </c>
      <c r="O393">
        <f>C393&amp;"_"&amp;TEXT(N393,"yyyy-mm-dd")</f>
        <v/>
      </c>
      <c r="P393">
        <f>IFERROR(VLOOKUP(O393,Merchant_Day_Analysis!$A$5:$G$447,7,FALSE),"Not found")</f>
        <v/>
      </c>
    </row>
    <row r="394">
      <c r="A394" t="inlineStr">
        <is>
          <t>TXN100392</t>
        </is>
      </c>
      <c r="B394" t="n">
        <v>269</v>
      </c>
      <c r="C394" t="n">
        <v>32</v>
      </c>
      <c r="D394" s="6" t="n">
        <v>46037.85694444444</v>
      </c>
      <c r="E394" t="n">
        <v>49</v>
      </c>
      <c r="F394" t="inlineStr">
        <is>
          <t>Card</t>
        </is>
      </c>
      <c r="G394" t="inlineStr">
        <is>
          <t>captured</t>
        </is>
      </c>
      <c r="H394" t="n">
        <v>17</v>
      </c>
      <c r="I394">
        <f>IFERROR(VLOOKUP(C394,Merchants!$A$2:$D$41,2,FALSE),"Merchant not found")</f>
        <v/>
      </c>
      <c r="J394">
        <f>IFERROR(VLOOKUP(C394,Merchants!$A$2:$D$41,3,FALSE),"Merchant not found")</f>
        <v/>
      </c>
      <c r="K394">
        <f>IFERROR(VLOOKUP(C394,Merchants!$A$2:$D$41,4,FALSE),"Merchant not found")</f>
        <v/>
      </c>
      <c r="L394" s="4">
        <f>HLOOKUP(F394,Fee_Tiers!$B$2:$E$3,2,FALSE)</f>
        <v/>
      </c>
      <c r="M394">
        <f>E394*L394</f>
        <v/>
      </c>
      <c r="N394" s="5" t="n">
        <v>46037</v>
      </c>
      <c r="O394">
        <f>C394&amp;"_"&amp;TEXT(N394,"yyyy-mm-dd")</f>
        <v/>
      </c>
      <c r="P394">
        <f>IFERROR(VLOOKUP(O394,Merchant_Day_Analysis!$A$5:$G$447,7,FALSE),"Not found")</f>
        <v/>
      </c>
    </row>
    <row r="395">
      <c r="A395" t="inlineStr">
        <is>
          <t>TXN100393</t>
        </is>
      </c>
      <c r="B395" t="n">
        <v>140</v>
      </c>
      <c r="C395" t="n">
        <v>13</v>
      </c>
      <c r="D395" s="6" t="n">
        <v>46050.68680555555</v>
      </c>
      <c r="E395" t="n">
        <v>2999</v>
      </c>
      <c r="F395" t="inlineStr">
        <is>
          <t>UPI</t>
        </is>
      </c>
      <c r="G395" t="inlineStr">
        <is>
          <t>captured</t>
        </is>
      </c>
      <c r="H395" t="n">
        <v>14</v>
      </c>
      <c r="I395">
        <f>IFERROR(VLOOKUP(C395,Merchants!$A$2:$D$41,2,FALSE),"Merchant not found")</f>
        <v/>
      </c>
      <c r="J395">
        <f>IFERROR(VLOOKUP(C395,Merchants!$A$2:$D$41,3,FALSE),"Merchant not found")</f>
        <v/>
      </c>
      <c r="K395">
        <f>IFERROR(VLOOKUP(C395,Merchants!$A$2:$D$41,4,FALSE),"Merchant not found")</f>
        <v/>
      </c>
      <c r="L395" s="4">
        <f>HLOOKUP(F395,Fee_Tiers!$B$2:$E$3,2,FALSE)</f>
        <v/>
      </c>
      <c r="M395">
        <f>E395*L395</f>
        <v/>
      </c>
      <c r="N395" s="5" t="n">
        <v>46050</v>
      </c>
      <c r="O395">
        <f>C395&amp;"_"&amp;TEXT(N395,"yyyy-mm-dd")</f>
        <v/>
      </c>
      <c r="P395">
        <f>IFERROR(VLOOKUP(O395,Merchant_Day_Analysis!$A$5:$G$447,7,FALSE),"Not found")</f>
        <v/>
      </c>
    </row>
    <row r="396">
      <c r="A396" t="inlineStr">
        <is>
          <t>TXN100394</t>
        </is>
      </c>
      <c r="B396" t="n">
        <v>235</v>
      </c>
      <c r="C396" t="n">
        <v>17</v>
      </c>
      <c r="D396" s="6" t="n">
        <v>46033.24027777778</v>
      </c>
      <c r="E396" t="n">
        <v>2999</v>
      </c>
      <c r="F396" t="inlineStr">
        <is>
          <t>UPI</t>
        </is>
      </c>
      <c r="G396" t="inlineStr">
        <is>
          <t>captured</t>
        </is>
      </c>
      <c r="H396" t="n">
        <v>91</v>
      </c>
      <c r="I396">
        <f>IFERROR(VLOOKUP(C396,Merchants!$A$2:$D$41,2,FALSE),"Merchant not found")</f>
        <v/>
      </c>
      <c r="J396">
        <f>IFERROR(VLOOKUP(C396,Merchants!$A$2:$D$41,3,FALSE),"Merchant not found")</f>
        <v/>
      </c>
      <c r="K396">
        <f>IFERROR(VLOOKUP(C396,Merchants!$A$2:$D$41,4,FALSE),"Merchant not found")</f>
        <v/>
      </c>
      <c r="L396" s="4">
        <f>HLOOKUP(F396,Fee_Tiers!$B$2:$E$3,2,FALSE)</f>
        <v/>
      </c>
      <c r="M396">
        <f>E396*L396</f>
        <v/>
      </c>
      <c r="N396" s="5" t="n">
        <v>46033</v>
      </c>
      <c r="O396">
        <f>C396&amp;"_"&amp;TEXT(N396,"yyyy-mm-dd")</f>
        <v/>
      </c>
      <c r="P396">
        <f>IFERROR(VLOOKUP(O396,Merchant_Day_Analysis!$A$5:$G$447,7,FALSE),"Not found")</f>
        <v/>
      </c>
    </row>
    <row r="397">
      <c r="A397" t="inlineStr">
        <is>
          <t>TXN100395</t>
        </is>
      </c>
      <c r="B397" t="n">
        <v>173</v>
      </c>
      <c r="C397" t="n">
        <v>19</v>
      </c>
      <c r="D397" s="6" t="n">
        <v>46028.03263888889</v>
      </c>
      <c r="E397" t="n">
        <v>499</v>
      </c>
      <c r="F397" t="inlineStr">
        <is>
          <t>UPI</t>
        </is>
      </c>
      <c r="G397" t="inlineStr">
        <is>
          <t>failed</t>
        </is>
      </c>
      <c r="H397" t="n">
        <v>72</v>
      </c>
      <c r="I397">
        <f>IFERROR(VLOOKUP(C397,Merchants!$A$2:$D$41,2,FALSE),"Merchant not found")</f>
        <v/>
      </c>
      <c r="J397">
        <f>IFERROR(VLOOKUP(C397,Merchants!$A$2:$D$41,3,FALSE),"Merchant not found")</f>
        <v/>
      </c>
      <c r="K397">
        <f>IFERROR(VLOOKUP(C397,Merchants!$A$2:$D$41,4,FALSE),"Merchant not found")</f>
        <v/>
      </c>
      <c r="L397" s="4">
        <f>HLOOKUP(F397,Fee_Tiers!$B$2:$E$3,2,FALSE)</f>
        <v/>
      </c>
      <c r="M397">
        <f>E397*L397</f>
        <v/>
      </c>
      <c r="N397" s="5" t="n">
        <v>46028</v>
      </c>
      <c r="O397">
        <f>C397&amp;"_"&amp;TEXT(N397,"yyyy-mm-dd")</f>
        <v/>
      </c>
      <c r="P397">
        <f>IFERROR(VLOOKUP(O397,Merchant_Day_Analysis!$A$5:$G$447,7,FALSE),"Not found")</f>
        <v/>
      </c>
    </row>
    <row r="398">
      <c r="A398" t="inlineStr">
        <is>
          <t>TXN100396</t>
        </is>
      </c>
      <c r="B398" t="n">
        <v>313</v>
      </c>
      <c r="C398" t="n">
        <v>26</v>
      </c>
      <c r="D398" s="6" t="n">
        <v>46044.25763888889</v>
      </c>
      <c r="E398" t="n">
        <v>499</v>
      </c>
      <c r="F398" t="inlineStr">
        <is>
          <t>UPI</t>
        </is>
      </c>
      <c r="G398" t="inlineStr">
        <is>
          <t>captured</t>
        </is>
      </c>
      <c r="H398" t="n">
        <v>54</v>
      </c>
      <c r="I398">
        <f>IFERROR(VLOOKUP(C398,Merchants!$A$2:$D$41,2,FALSE),"Merchant not found")</f>
        <v/>
      </c>
      <c r="J398">
        <f>IFERROR(VLOOKUP(C398,Merchants!$A$2:$D$41,3,FALSE),"Merchant not found")</f>
        <v/>
      </c>
      <c r="K398">
        <f>IFERROR(VLOOKUP(C398,Merchants!$A$2:$D$41,4,FALSE),"Merchant not found")</f>
        <v/>
      </c>
      <c r="L398" s="4">
        <f>HLOOKUP(F398,Fee_Tiers!$B$2:$E$3,2,FALSE)</f>
        <v/>
      </c>
      <c r="M398">
        <f>E398*L398</f>
        <v/>
      </c>
      <c r="N398" s="5" t="n">
        <v>46044</v>
      </c>
      <c r="O398">
        <f>C398&amp;"_"&amp;TEXT(N398,"yyyy-mm-dd")</f>
        <v/>
      </c>
      <c r="P398">
        <f>IFERROR(VLOOKUP(O398,Merchant_Day_Analysis!$A$5:$G$447,7,FALSE),"Not found")</f>
        <v/>
      </c>
    </row>
    <row r="399">
      <c r="A399" t="inlineStr">
        <is>
          <t>TXN100397</t>
        </is>
      </c>
      <c r="B399" t="n">
        <v>206</v>
      </c>
      <c r="C399" t="n">
        <v>7</v>
      </c>
      <c r="D399" s="6" t="n">
        <v>46039.42013888889</v>
      </c>
      <c r="E399" t="n">
        <v>149</v>
      </c>
      <c r="F399" t="inlineStr">
        <is>
          <t>Wallet</t>
        </is>
      </c>
      <c r="G399" t="inlineStr">
        <is>
          <t>captured</t>
        </is>
      </c>
      <c r="H399" t="n">
        <v>23</v>
      </c>
      <c r="I399">
        <f>IFERROR(VLOOKUP(C399,Merchants!$A$2:$D$41,2,FALSE),"Merchant not found")</f>
        <v/>
      </c>
      <c r="J399">
        <f>IFERROR(VLOOKUP(C399,Merchants!$A$2:$D$41,3,FALSE),"Merchant not found")</f>
        <v/>
      </c>
      <c r="K399">
        <f>IFERROR(VLOOKUP(C399,Merchants!$A$2:$D$41,4,FALSE),"Merchant not found")</f>
        <v/>
      </c>
      <c r="L399" s="4">
        <f>HLOOKUP(F399,Fee_Tiers!$B$2:$E$3,2,FALSE)</f>
        <v/>
      </c>
      <c r="M399">
        <f>E399*L399</f>
        <v/>
      </c>
      <c r="N399" s="5" t="n">
        <v>46039</v>
      </c>
      <c r="O399">
        <f>C399&amp;"_"&amp;TEXT(N399,"yyyy-mm-dd")</f>
        <v/>
      </c>
      <c r="P399">
        <f>IFERROR(VLOOKUP(O399,Merchant_Day_Analysis!$A$5:$G$447,7,FALSE),"Not found")</f>
        <v/>
      </c>
    </row>
    <row r="400">
      <c r="A400" t="inlineStr">
        <is>
          <t>TXN100398</t>
        </is>
      </c>
      <c r="B400" t="n">
        <v>128</v>
      </c>
      <c r="C400" t="n">
        <v>1</v>
      </c>
      <c r="D400" s="6" t="n">
        <v>46027.63888888889</v>
      </c>
      <c r="E400" t="n">
        <v>1499</v>
      </c>
      <c r="F400" t="inlineStr">
        <is>
          <t>Netbanking</t>
        </is>
      </c>
      <c r="G400" t="inlineStr">
        <is>
          <t>captured</t>
        </is>
      </c>
      <c r="H400" t="n">
        <v>33</v>
      </c>
      <c r="I400">
        <f>IFERROR(VLOOKUP(C400,Merchants!$A$2:$D$41,2,FALSE),"Merchant not found")</f>
        <v/>
      </c>
      <c r="J400">
        <f>IFERROR(VLOOKUP(C400,Merchants!$A$2:$D$41,3,FALSE),"Merchant not found")</f>
        <v/>
      </c>
      <c r="K400">
        <f>IFERROR(VLOOKUP(C400,Merchants!$A$2:$D$41,4,FALSE),"Merchant not found")</f>
        <v/>
      </c>
      <c r="L400" s="4">
        <f>HLOOKUP(F400,Fee_Tiers!$B$2:$E$3,2,FALSE)</f>
        <v/>
      </c>
      <c r="M400">
        <f>E400*L400</f>
        <v/>
      </c>
      <c r="N400" s="5" t="n">
        <v>46027</v>
      </c>
      <c r="O400">
        <f>C400&amp;"_"&amp;TEXT(N400,"yyyy-mm-dd")</f>
        <v/>
      </c>
      <c r="P400">
        <f>IFERROR(VLOOKUP(O400,Merchant_Day_Analysis!$A$5:$G$447,7,FALSE),"Not found")</f>
        <v/>
      </c>
    </row>
    <row r="401">
      <c r="A401" t="inlineStr">
        <is>
          <t>TXN100399</t>
        </is>
      </c>
      <c r="B401" t="n">
        <v>137</v>
      </c>
      <c r="C401" t="n">
        <v>22</v>
      </c>
      <c r="D401" s="6" t="n">
        <v>46035.31111111111</v>
      </c>
      <c r="E401" t="n">
        <v>799</v>
      </c>
      <c r="F401" t="inlineStr">
        <is>
          <t>UPI</t>
        </is>
      </c>
      <c r="G401" t="inlineStr">
        <is>
          <t>failed</t>
        </is>
      </c>
      <c r="H401" t="n">
        <v>38</v>
      </c>
      <c r="I401">
        <f>IFERROR(VLOOKUP(C401,Merchants!$A$2:$D$41,2,FALSE),"Merchant not found")</f>
        <v/>
      </c>
      <c r="J401">
        <f>IFERROR(VLOOKUP(C401,Merchants!$A$2:$D$41,3,FALSE),"Merchant not found")</f>
        <v/>
      </c>
      <c r="K401">
        <f>IFERROR(VLOOKUP(C401,Merchants!$A$2:$D$41,4,FALSE),"Merchant not found")</f>
        <v/>
      </c>
      <c r="L401" s="4">
        <f>HLOOKUP(F401,Fee_Tiers!$B$2:$E$3,2,FALSE)</f>
        <v/>
      </c>
      <c r="M401">
        <f>E401*L401</f>
        <v/>
      </c>
      <c r="N401" s="5" t="n">
        <v>46035</v>
      </c>
      <c r="O401">
        <f>C401&amp;"_"&amp;TEXT(N401,"yyyy-mm-dd")</f>
        <v/>
      </c>
      <c r="P401">
        <f>IFERROR(VLOOKUP(O401,Merchant_Day_Analysis!$A$5:$G$447,7,FALSE),"Not found")</f>
        <v/>
      </c>
    </row>
    <row r="402">
      <c r="A402" t="inlineStr">
        <is>
          <t>TXN100400</t>
        </is>
      </c>
      <c r="B402" t="n">
        <v>6</v>
      </c>
      <c r="C402" t="n">
        <v>17</v>
      </c>
      <c r="D402" s="6" t="n">
        <v>46041.98333333333</v>
      </c>
      <c r="E402" t="n">
        <v>49</v>
      </c>
      <c r="F402" t="inlineStr">
        <is>
          <t>UPI</t>
        </is>
      </c>
      <c r="G402" t="inlineStr">
        <is>
          <t>captured</t>
        </is>
      </c>
      <c r="H402" t="n">
        <v>83</v>
      </c>
      <c r="I402">
        <f>IFERROR(VLOOKUP(C402,Merchants!$A$2:$D$41,2,FALSE),"Merchant not found")</f>
        <v/>
      </c>
      <c r="J402">
        <f>IFERROR(VLOOKUP(C402,Merchants!$A$2:$D$41,3,FALSE),"Merchant not found")</f>
        <v/>
      </c>
      <c r="K402">
        <f>IFERROR(VLOOKUP(C402,Merchants!$A$2:$D$41,4,FALSE),"Merchant not found")</f>
        <v/>
      </c>
      <c r="L402" s="4">
        <f>HLOOKUP(F402,Fee_Tiers!$B$2:$E$3,2,FALSE)</f>
        <v/>
      </c>
      <c r="M402">
        <f>E402*L402</f>
        <v/>
      </c>
      <c r="N402" s="5" t="n">
        <v>46041</v>
      </c>
      <c r="O402">
        <f>C402&amp;"_"&amp;TEXT(N402,"yyyy-mm-dd")</f>
        <v/>
      </c>
      <c r="P402">
        <f>IFERROR(VLOOKUP(O402,Merchant_Day_Analysis!$A$5:$G$447,7,FALSE),"Not found")</f>
        <v/>
      </c>
    </row>
    <row r="403">
      <c r="A403" t="inlineStr">
        <is>
          <t>TXN100401</t>
        </is>
      </c>
      <c r="B403" t="n">
        <v>32</v>
      </c>
      <c r="C403" t="n">
        <v>8</v>
      </c>
      <c r="D403" s="6" t="n">
        <v>46034.92708333334</v>
      </c>
      <c r="E403" t="n">
        <v>299</v>
      </c>
      <c r="F403" t="inlineStr">
        <is>
          <t>Card</t>
        </is>
      </c>
      <c r="G403" t="inlineStr">
        <is>
          <t>captured</t>
        </is>
      </c>
      <c r="H403" t="n">
        <v>59</v>
      </c>
      <c r="I403">
        <f>IFERROR(VLOOKUP(C403,Merchants!$A$2:$D$41,2,FALSE),"Merchant not found")</f>
        <v/>
      </c>
      <c r="J403">
        <f>IFERROR(VLOOKUP(C403,Merchants!$A$2:$D$41,3,FALSE),"Merchant not found")</f>
        <v/>
      </c>
      <c r="K403">
        <f>IFERROR(VLOOKUP(C403,Merchants!$A$2:$D$41,4,FALSE),"Merchant not found")</f>
        <v/>
      </c>
      <c r="L403" s="4">
        <f>HLOOKUP(F403,Fee_Tiers!$B$2:$E$3,2,FALSE)</f>
        <v/>
      </c>
      <c r="M403">
        <f>E403*L403</f>
        <v/>
      </c>
      <c r="N403" s="5" t="n">
        <v>46034</v>
      </c>
      <c r="O403">
        <f>C403&amp;"_"&amp;TEXT(N403,"yyyy-mm-dd")</f>
        <v/>
      </c>
      <c r="P403">
        <f>IFERROR(VLOOKUP(O403,Merchant_Day_Analysis!$A$5:$G$447,7,FALSE),"Not found")</f>
        <v/>
      </c>
    </row>
    <row r="404">
      <c r="A404" t="inlineStr">
        <is>
          <t>TXN100402</t>
        </is>
      </c>
      <c r="B404" t="n">
        <v>258</v>
      </c>
      <c r="C404" t="n">
        <v>20</v>
      </c>
      <c r="D404" s="6" t="n">
        <v>46032.22569444445</v>
      </c>
      <c r="E404" t="n">
        <v>149</v>
      </c>
      <c r="F404" t="inlineStr">
        <is>
          <t>UPI</t>
        </is>
      </c>
      <c r="G404" t="inlineStr">
        <is>
          <t>captured</t>
        </is>
      </c>
      <c r="H404" t="n">
        <v>88</v>
      </c>
      <c r="I404">
        <f>IFERROR(VLOOKUP(C404,Merchants!$A$2:$D$41,2,FALSE),"Merchant not found")</f>
        <v/>
      </c>
      <c r="J404">
        <f>IFERROR(VLOOKUP(C404,Merchants!$A$2:$D$41,3,FALSE),"Merchant not found")</f>
        <v/>
      </c>
      <c r="K404">
        <f>IFERROR(VLOOKUP(C404,Merchants!$A$2:$D$41,4,FALSE),"Merchant not found")</f>
        <v/>
      </c>
      <c r="L404" s="4">
        <f>HLOOKUP(F404,Fee_Tiers!$B$2:$E$3,2,FALSE)</f>
        <v/>
      </c>
      <c r="M404">
        <f>E404*L404</f>
        <v/>
      </c>
      <c r="N404" s="5" t="n">
        <v>46032</v>
      </c>
      <c r="O404">
        <f>C404&amp;"_"&amp;TEXT(N404,"yyyy-mm-dd")</f>
        <v/>
      </c>
      <c r="P404">
        <f>IFERROR(VLOOKUP(O404,Merchant_Day_Analysis!$A$5:$G$447,7,FALSE),"Not found")</f>
        <v/>
      </c>
    </row>
    <row r="405">
      <c r="A405" t="inlineStr">
        <is>
          <t>TXN100403</t>
        </is>
      </c>
      <c r="B405" t="n">
        <v>152</v>
      </c>
      <c r="C405" t="n">
        <v>24</v>
      </c>
      <c r="D405" s="6" t="n">
        <v>46026.87361111111</v>
      </c>
      <c r="E405" t="n">
        <v>149</v>
      </c>
      <c r="F405" t="inlineStr">
        <is>
          <t>UPI</t>
        </is>
      </c>
      <c r="G405" t="inlineStr">
        <is>
          <t>chargeback</t>
        </is>
      </c>
      <c r="H405" t="n">
        <v>78</v>
      </c>
      <c r="I405">
        <f>IFERROR(VLOOKUP(C405,Merchants!$A$2:$D$41,2,FALSE),"Merchant not found")</f>
        <v/>
      </c>
      <c r="J405">
        <f>IFERROR(VLOOKUP(C405,Merchants!$A$2:$D$41,3,FALSE),"Merchant not found")</f>
        <v/>
      </c>
      <c r="K405">
        <f>IFERROR(VLOOKUP(C405,Merchants!$A$2:$D$41,4,FALSE),"Merchant not found")</f>
        <v/>
      </c>
      <c r="L405" s="4">
        <f>HLOOKUP(F405,Fee_Tiers!$B$2:$E$3,2,FALSE)</f>
        <v/>
      </c>
      <c r="M405">
        <f>E405*L405</f>
        <v/>
      </c>
      <c r="N405" s="5" t="n">
        <v>46026</v>
      </c>
      <c r="O405">
        <f>C405&amp;"_"&amp;TEXT(N405,"yyyy-mm-dd")</f>
        <v/>
      </c>
      <c r="P405">
        <f>IFERROR(VLOOKUP(O405,Merchant_Day_Analysis!$A$5:$G$447,7,FALSE),"Not found")</f>
        <v/>
      </c>
    </row>
    <row r="406">
      <c r="A406" t="inlineStr">
        <is>
          <t>TXN100404</t>
        </is>
      </c>
      <c r="B406" t="n">
        <v>245</v>
      </c>
      <c r="C406" t="n">
        <v>10</v>
      </c>
      <c r="D406" s="6" t="n">
        <v>46030.29722222222</v>
      </c>
      <c r="E406" t="n">
        <v>799</v>
      </c>
      <c r="F406" t="inlineStr">
        <is>
          <t>Wallet</t>
        </is>
      </c>
      <c r="G406" t="inlineStr">
        <is>
          <t>captured</t>
        </is>
      </c>
      <c r="H406" t="n">
        <v>58</v>
      </c>
      <c r="I406">
        <f>IFERROR(VLOOKUP(C406,Merchants!$A$2:$D$41,2,FALSE),"Merchant not found")</f>
        <v/>
      </c>
      <c r="J406">
        <f>IFERROR(VLOOKUP(C406,Merchants!$A$2:$D$41,3,FALSE),"Merchant not found")</f>
        <v/>
      </c>
      <c r="K406">
        <f>IFERROR(VLOOKUP(C406,Merchants!$A$2:$D$41,4,FALSE),"Merchant not found")</f>
        <v/>
      </c>
      <c r="L406" s="4">
        <f>HLOOKUP(F406,Fee_Tiers!$B$2:$E$3,2,FALSE)</f>
        <v/>
      </c>
      <c r="M406">
        <f>E406*L406</f>
        <v/>
      </c>
      <c r="N406" s="5" t="n">
        <v>46030</v>
      </c>
      <c r="O406">
        <f>C406&amp;"_"&amp;TEXT(N406,"yyyy-mm-dd")</f>
        <v/>
      </c>
      <c r="P406">
        <f>IFERROR(VLOOKUP(O406,Merchant_Day_Analysis!$A$5:$G$447,7,FALSE),"Not found")</f>
        <v/>
      </c>
    </row>
    <row r="407">
      <c r="A407" t="inlineStr">
        <is>
          <t>TXN100405</t>
        </is>
      </c>
      <c r="B407" t="n">
        <v>213</v>
      </c>
      <c r="C407" t="n">
        <v>36</v>
      </c>
      <c r="D407" s="6" t="n">
        <v>46046.80763888889</v>
      </c>
      <c r="E407" t="n">
        <v>49</v>
      </c>
      <c r="F407" t="inlineStr">
        <is>
          <t>Wallet</t>
        </is>
      </c>
      <c r="G407" t="inlineStr">
        <is>
          <t>captured</t>
        </is>
      </c>
      <c r="H407" t="n">
        <v>60</v>
      </c>
      <c r="I407">
        <f>IFERROR(VLOOKUP(C407,Merchants!$A$2:$D$41,2,FALSE),"Merchant not found")</f>
        <v/>
      </c>
      <c r="J407">
        <f>IFERROR(VLOOKUP(C407,Merchants!$A$2:$D$41,3,FALSE),"Merchant not found")</f>
        <v/>
      </c>
      <c r="K407">
        <f>IFERROR(VLOOKUP(C407,Merchants!$A$2:$D$41,4,FALSE),"Merchant not found")</f>
        <v/>
      </c>
      <c r="L407" s="4">
        <f>HLOOKUP(F407,Fee_Tiers!$B$2:$E$3,2,FALSE)</f>
        <v/>
      </c>
      <c r="M407">
        <f>E407*L407</f>
        <v/>
      </c>
      <c r="N407" s="5" t="n">
        <v>46046</v>
      </c>
      <c r="O407">
        <f>C407&amp;"_"&amp;TEXT(N407,"yyyy-mm-dd")</f>
        <v/>
      </c>
      <c r="P407">
        <f>IFERROR(VLOOKUP(O407,Merchant_Day_Analysis!$A$5:$G$447,7,FALSE),"Not found")</f>
        <v/>
      </c>
    </row>
    <row r="408">
      <c r="A408" t="inlineStr">
        <is>
          <t>TXN100406</t>
        </is>
      </c>
      <c r="B408" t="n">
        <v>341</v>
      </c>
      <c r="C408" t="n">
        <v>14</v>
      </c>
      <c r="D408" s="6" t="n">
        <v>46047.74375</v>
      </c>
      <c r="E408" t="n">
        <v>99</v>
      </c>
      <c r="F408" t="inlineStr">
        <is>
          <t>Netbanking</t>
        </is>
      </c>
      <c r="G408" t="inlineStr">
        <is>
          <t>captured</t>
        </is>
      </c>
      <c r="H408" t="n">
        <v>97</v>
      </c>
      <c r="I408">
        <f>IFERROR(VLOOKUP(C408,Merchants!$A$2:$D$41,2,FALSE),"Merchant not found")</f>
        <v/>
      </c>
      <c r="J408">
        <f>IFERROR(VLOOKUP(C408,Merchants!$A$2:$D$41,3,FALSE),"Merchant not found")</f>
        <v/>
      </c>
      <c r="K408">
        <f>IFERROR(VLOOKUP(C408,Merchants!$A$2:$D$41,4,FALSE),"Merchant not found")</f>
        <v/>
      </c>
      <c r="L408" s="4">
        <f>HLOOKUP(F408,Fee_Tiers!$B$2:$E$3,2,FALSE)</f>
        <v/>
      </c>
      <c r="M408">
        <f>E408*L408</f>
        <v/>
      </c>
      <c r="N408" s="5" t="n">
        <v>46047</v>
      </c>
      <c r="O408">
        <f>C408&amp;"_"&amp;TEXT(N408,"yyyy-mm-dd")</f>
        <v/>
      </c>
      <c r="P408">
        <f>IFERROR(VLOOKUP(O408,Merchant_Day_Analysis!$A$5:$G$447,7,FALSE),"Not found")</f>
        <v/>
      </c>
    </row>
    <row r="409">
      <c r="A409" t="inlineStr">
        <is>
          <t>TXN100407</t>
        </is>
      </c>
      <c r="B409" t="n">
        <v>306</v>
      </c>
      <c r="C409" t="n">
        <v>6</v>
      </c>
      <c r="D409" s="6" t="n">
        <v>46030.90833333333</v>
      </c>
      <c r="E409" t="n">
        <v>149</v>
      </c>
      <c r="F409" t="inlineStr">
        <is>
          <t>Netbanking</t>
        </is>
      </c>
      <c r="G409" t="inlineStr">
        <is>
          <t>captured</t>
        </is>
      </c>
      <c r="H409" t="n">
        <v>67</v>
      </c>
      <c r="I409">
        <f>IFERROR(VLOOKUP(C409,Merchants!$A$2:$D$41,2,FALSE),"Merchant not found")</f>
        <v/>
      </c>
      <c r="J409">
        <f>IFERROR(VLOOKUP(C409,Merchants!$A$2:$D$41,3,FALSE),"Merchant not found")</f>
        <v/>
      </c>
      <c r="K409">
        <f>IFERROR(VLOOKUP(C409,Merchants!$A$2:$D$41,4,FALSE),"Merchant not found")</f>
        <v/>
      </c>
      <c r="L409" s="4">
        <f>HLOOKUP(F409,Fee_Tiers!$B$2:$E$3,2,FALSE)</f>
        <v/>
      </c>
      <c r="M409">
        <f>E409*L409</f>
        <v/>
      </c>
      <c r="N409" s="5" t="n">
        <v>46030</v>
      </c>
      <c r="O409">
        <f>C409&amp;"_"&amp;TEXT(N409,"yyyy-mm-dd")</f>
        <v/>
      </c>
      <c r="P409">
        <f>IFERROR(VLOOKUP(O409,Merchant_Day_Analysis!$A$5:$G$447,7,FALSE),"Not found")</f>
        <v/>
      </c>
    </row>
    <row r="410">
      <c r="A410" t="inlineStr">
        <is>
          <t>TXN100408</t>
        </is>
      </c>
      <c r="B410" t="n">
        <v>186</v>
      </c>
      <c r="C410" t="n">
        <v>5</v>
      </c>
      <c r="D410" s="6" t="n">
        <v>46037.69791666666</v>
      </c>
      <c r="E410" t="n">
        <v>499</v>
      </c>
      <c r="F410" t="inlineStr">
        <is>
          <t>UPI</t>
        </is>
      </c>
      <c r="G410" t="inlineStr">
        <is>
          <t>captured</t>
        </is>
      </c>
      <c r="H410" t="n">
        <v>72</v>
      </c>
      <c r="I410">
        <f>IFERROR(VLOOKUP(C410,Merchants!$A$2:$D$41,2,FALSE),"Merchant not found")</f>
        <v/>
      </c>
      <c r="J410">
        <f>IFERROR(VLOOKUP(C410,Merchants!$A$2:$D$41,3,FALSE),"Merchant not found")</f>
        <v/>
      </c>
      <c r="K410">
        <f>IFERROR(VLOOKUP(C410,Merchants!$A$2:$D$41,4,FALSE),"Merchant not found")</f>
        <v/>
      </c>
      <c r="L410" s="4">
        <f>HLOOKUP(F410,Fee_Tiers!$B$2:$E$3,2,FALSE)</f>
        <v/>
      </c>
      <c r="M410">
        <f>E410*L410</f>
        <v/>
      </c>
      <c r="N410" s="5" t="n">
        <v>46037</v>
      </c>
      <c r="O410">
        <f>C410&amp;"_"&amp;TEXT(N410,"yyyy-mm-dd")</f>
        <v/>
      </c>
      <c r="P410">
        <f>IFERROR(VLOOKUP(O410,Merchant_Day_Analysis!$A$5:$G$447,7,FALSE),"Not found")</f>
        <v/>
      </c>
    </row>
    <row r="411">
      <c r="A411" t="inlineStr">
        <is>
          <t>TXN100409</t>
        </is>
      </c>
      <c r="B411" t="n">
        <v>281</v>
      </c>
      <c r="C411" t="n">
        <v>33</v>
      </c>
      <c r="D411" s="6" t="n">
        <v>46026.07847222222</v>
      </c>
      <c r="E411" t="n">
        <v>4999</v>
      </c>
      <c r="F411" t="inlineStr">
        <is>
          <t>UPI</t>
        </is>
      </c>
      <c r="G411" t="inlineStr">
        <is>
          <t>captured</t>
        </is>
      </c>
      <c r="H411" t="n">
        <v>25</v>
      </c>
      <c r="I411">
        <f>IFERROR(VLOOKUP(C411,Merchants!$A$2:$D$41,2,FALSE),"Merchant not found")</f>
        <v/>
      </c>
      <c r="J411">
        <f>IFERROR(VLOOKUP(C411,Merchants!$A$2:$D$41,3,FALSE),"Merchant not found")</f>
        <v/>
      </c>
      <c r="K411">
        <f>IFERROR(VLOOKUP(C411,Merchants!$A$2:$D$41,4,FALSE),"Merchant not found")</f>
        <v/>
      </c>
      <c r="L411" s="4">
        <f>HLOOKUP(F411,Fee_Tiers!$B$2:$E$3,2,FALSE)</f>
        <v/>
      </c>
      <c r="M411">
        <f>E411*L411</f>
        <v/>
      </c>
      <c r="N411" s="5" t="n">
        <v>46026</v>
      </c>
      <c r="O411">
        <f>C411&amp;"_"&amp;TEXT(N411,"yyyy-mm-dd")</f>
        <v/>
      </c>
      <c r="P411">
        <f>IFERROR(VLOOKUP(O411,Merchant_Day_Analysis!$A$5:$G$447,7,FALSE),"Not found")</f>
        <v/>
      </c>
    </row>
    <row r="412">
      <c r="A412" t="inlineStr">
        <is>
          <t>TXN100410</t>
        </is>
      </c>
      <c r="B412" t="n">
        <v>85</v>
      </c>
      <c r="C412" t="n">
        <v>21</v>
      </c>
      <c r="D412" s="6" t="n">
        <v>46041.71458333333</v>
      </c>
      <c r="E412" t="n">
        <v>99</v>
      </c>
      <c r="F412" t="inlineStr">
        <is>
          <t>UPI</t>
        </is>
      </c>
      <c r="G412" t="inlineStr">
        <is>
          <t>captured</t>
        </is>
      </c>
      <c r="H412" t="n">
        <v>66</v>
      </c>
      <c r="I412">
        <f>IFERROR(VLOOKUP(C412,Merchants!$A$2:$D$41,2,FALSE),"Merchant not found")</f>
        <v/>
      </c>
      <c r="J412">
        <f>IFERROR(VLOOKUP(C412,Merchants!$A$2:$D$41,3,FALSE),"Merchant not found")</f>
        <v/>
      </c>
      <c r="K412">
        <f>IFERROR(VLOOKUP(C412,Merchants!$A$2:$D$41,4,FALSE),"Merchant not found")</f>
        <v/>
      </c>
      <c r="L412" s="4">
        <f>HLOOKUP(F412,Fee_Tiers!$B$2:$E$3,2,FALSE)</f>
        <v/>
      </c>
      <c r="M412">
        <f>E412*L412</f>
        <v/>
      </c>
      <c r="N412" s="5" t="n">
        <v>46041</v>
      </c>
      <c r="O412">
        <f>C412&amp;"_"&amp;TEXT(N412,"yyyy-mm-dd")</f>
        <v/>
      </c>
      <c r="P412">
        <f>IFERROR(VLOOKUP(O412,Merchant_Day_Analysis!$A$5:$G$447,7,FALSE),"Not found")</f>
        <v/>
      </c>
    </row>
    <row r="413">
      <c r="A413" t="inlineStr">
        <is>
          <t>TXN100411</t>
        </is>
      </c>
      <c r="B413" t="n">
        <v>106</v>
      </c>
      <c r="C413" t="n">
        <v>38</v>
      </c>
      <c r="D413" s="6" t="n">
        <v>46037.15486111111</v>
      </c>
      <c r="E413" t="n">
        <v>499</v>
      </c>
      <c r="F413" t="inlineStr">
        <is>
          <t>UPI</t>
        </is>
      </c>
      <c r="G413" t="inlineStr">
        <is>
          <t>captured</t>
        </is>
      </c>
      <c r="H413" t="n">
        <v>62</v>
      </c>
      <c r="I413">
        <f>IFERROR(VLOOKUP(C413,Merchants!$A$2:$D$41,2,FALSE),"Merchant not found")</f>
        <v/>
      </c>
      <c r="J413">
        <f>IFERROR(VLOOKUP(C413,Merchants!$A$2:$D$41,3,FALSE),"Merchant not found")</f>
        <v/>
      </c>
      <c r="K413">
        <f>IFERROR(VLOOKUP(C413,Merchants!$A$2:$D$41,4,FALSE),"Merchant not found")</f>
        <v/>
      </c>
      <c r="L413" s="4">
        <f>HLOOKUP(F413,Fee_Tiers!$B$2:$E$3,2,FALSE)</f>
        <v/>
      </c>
      <c r="M413">
        <f>E413*L413</f>
        <v/>
      </c>
      <c r="N413" s="5" t="n">
        <v>46037</v>
      </c>
      <c r="O413">
        <f>C413&amp;"_"&amp;TEXT(N413,"yyyy-mm-dd")</f>
        <v/>
      </c>
      <c r="P413">
        <f>IFERROR(VLOOKUP(O413,Merchant_Day_Analysis!$A$5:$G$447,7,FALSE),"Not found")</f>
        <v/>
      </c>
    </row>
    <row r="414">
      <c r="A414" t="inlineStr">
        <is>
          <t>TXN100412</t>
        </is>
      </c>
      <c r="B414" t="n">
        <v>29</v>
      </c>
      <c r="C414" t="n">
        <v>30</v>
      </c>
      <c r="D414" s="6" t="n">
        <v>46025.68611111111</v>
      </c>
      <c r="E414" t="n">
        <v>149</v>
      </c>
      <c r="F414" t="inlineStr">
        <is>
          <t>Netbanking</t>
        </is>
      </c>
      <c r="G414" t="inlineStr">
        <is>
          <t>captured</t>
        </is>
      </c>
      <c r="H414" t="n">
        <v>16</v>
      </c>
      <c r="I414">
        <f>IFERROR(VLOOKUP(C414,Merchants!$A$2:$D$41,2,FALSE),"Merchant not found")</f>
        <v/>
      </c>
      <c r="J414">
        <f>IFERROR(VLOOKUP(C414,Merchants!$A$2:$D$41,3,FALSE),"Merchant not found")</f>
        <v/>
      </c>
      <c r="K414">
        <f>IFERROR(VLOOKUP(C414,Merchants!$A$2:$D$41,4,FALSE),"Merchant not found")</f>
        <v/>
      </c>
      <c r="L414" s="4">
        <f>HLOOKUP(F414,Fee_Tiers!$B$2:$E$3,2,FALSE)</f>
        <v/>
      </c>
      <c r="M414">
        <f>E414*L414</f>
        <v/>
      </c>
      <c r="N414" s="5" t="n">
        <v>46025</v>
      </c>
      <c r="O414">
        <f>C414&amp;"_"&amp;TEXT(N414,"yyyy-mm-dd")</f>
        <v/>
      </c>
      <c r="P414">
        <f>IFERROR(VLOOKUP(O414,Merchant_Day_Analysis!$A$5:$G$447,7,FALSE),"Not found")</f>
        <v/>
      </c>
    </row>
    <row r="415">
      <c r="A415" t="inlineStr">
        <is>
          <t>TXN100413</t>
        </is>
      </c>
      <c r="B415" t="n">
        <v>289</v>
      </c>
      <c r="C415" t="n">
        <v>4</v>
      </c>
      <c r="D415" s="6" t="n">
        <v>46039.56180555555</v>
      </c>
      <c r="E415" t="n">
        <v>1499</v>
      </c>
      <c r="F415" t="inlineStr">
        <is>
          <t>Card</t>
        </is>
      </c>
      <c r="G415" t="inlineStr">
        <is>
          <t>captured</t>
        </is>
      </c>
      <c r="H415" t="n">
        <v>71</v>
      </c>
      <c r="I415">
        <f>IFERROR(VLOOKUP(C415,Merchants!$A$2:$D$41,2,FALSE),"Merchant not found")</f>
        <v/>
      </c>
      <c r="J415">
        <f>IFERROR(VLOOKUP(C415,Merchants!$A$2:$D$41,3,FALSE),"Merchant not found")</f>
        <v/>
      </c>
      <c r="K415">
        <f>IFERROR(VLOOKUP(C415,Merchants!$A$2:$D$41,4,FALSE),"Merchant not found")</f>
        <v/>
      </c>
      <c r="L415" s="4">
        <f>HLOOKUP(F415,Fee_Tiers!$B$2:$E$3,2,FALSE)</f>
        <v/>
      </c>
      <c r="M415">
        <f>E415*L415</f>
        <v/>
      </c>
      <c r="N415" s="5" t="n">
        <v>46039</v>
      </c>
      <c r="O415">
        <f>C415&amp;"_"&amp;TEXT(N415,"yyyy-mm-dd")</f>
        <v/>
      </c>
      <c r="P415">
        <f>IFERROR(VLOOKUP(O415,Merchant_Day_Analysis!$A$5:$G$447,7,FALSE),"Not found")</f>
        <v/>
      </c>
    </row>
    <row r="416">
      <c r="A416" t="inlineStr">
        <is>
          <t>TXN100414</t>
        </is>
      </c>
      <c r="B416" t="n">
        <v>158</v>
      </c>
      <c r="C416" t="n">
        <v>2</v>
      </c>
      <c r="D416" s="6" t="n">
        <v>46037.91041666667</v>
      </c>
      <c r="E416" t="n">
        <v>1499</v>
      </c>
      <c r="F416" t="inlineStr">
        <is>
          <t>Card</t>
        </is>
      </c>
      <c r="G416" t="inlineStr">
        <is>
          <t>captured</t>
        </is>
      </c>
      <c r="H416" t="n">
        <v>50</v>
      </c>
      <c r="I416">
        <f>IFERROR(VLOOKUP(C416,Merchants!$A$2:$D$41,2,FALSE),"Merchant not found")</f>
        <v/>
      </c>
      <c r="J416">
        <f>IFERROR(VLOOKUP(C416,Merchants!$A$2:$D$41,3,FALSE),"Merchant not found")</f>
        <v/>
      </c>
      <c r="K416">
        <f>IFERROR(VLOOKUP(C416,Merchants!$A$2:$D$41,4,FALSE),"Merchant not found")</f>
        <v/>
      </c>
      <c r="L416" s="4">
        <f>HLOOKUP(F416,Fee_Tiers!$B$2:$E$3,2,FALSE)</f>
        <v/>
      </c>
      <c r="M416">
        <f>E416*L416</f>
        <v/>
      </c>
      <c r="N416" s="5" t="n">
        <v>46037</v>
      </c>
      <c r="O416">
        <f>C416&amp;"_"&amp;TEXT(N416,"yyyy-mm-dd")</f>
        <v/>
      </c>
      <c r="P416">
        <f>IFERROR(VLOOKUP(O416,Merchant_Day_Analysis!$A$5:$G$447,7,FALSE),"Not found")</f>
        <v/>
      </c>
    </row>
    <row r="417">
      <c r="A417" t="inlineStr">
        <is>
          <t>TXN100415</t>
        </is>
      </c>
      <c r="B417" t="n">
        <v>112</v>
      </c>
      <c r="C417" t="n">
        <v>38</v>
      </c>
      <c r="D417" s="6" t="n">
        <v>46031.03263888889</v>
      </c>
      <c r="E417" t="n">
        <v>49</v>
      </c>
      <c r="F417" t="inlineStr">
        <is>
          <t>UPI</t>
        </is>
      </c>
      <c r="G417" t="inlineStr">
        <is>
          <t>captured</t>
        </is>
      </c>
      <c r="H417" t="n">
        <v>9</v>
      </c>
      <c r="I417">
        <f>IFERROR(VLOOKUP(C417,Merchants!$A$2:$D$41,2,FALSE),"Merchant not found")</f>
        <v/>
      </c>
      <c r="J417">
        <f>IFERROR(VLOOKUP(C417,Merchants!$A$2:$D$41,3,FALSE),"Merchant not found")</f>
        <v/>
      </c>
      <c r="K417">
        <f>IFERROR(VLOOKUP(C417,Merchants!$A$2:$D$41,4,FALSE),"Merchant not found")</f>
        <v/>
      </c>
      <c r="L417" s="4">
        <f>HLOOKUP(F417,Fee_Tiers!$B$2:$E$3,2,FALSE)</f>
        <v/>
      </c>
      <c r="M417">
        <f>E417*L417</f>
        <v/>
      </c>
      <c r="N417" s="5" t="n">
        <v>46031</v>
      </c>
      <c r="O417">
        <f>C417&amp;"_"&amp;TEXT(N417,"yyyy-mm-dd")</f>
        <v/>
      </c>
      <c r="P417">
        <f>IFERROR(VLOOKUP(O417,Merchant_Day_Analysis!$A$5:$G$447,7,FALSE),"Not found")</f>
        <v/>
      </c>
    </row>
    <row r="418">
      <c r="A418" t="inlineStr">
        <is>
          <t>TXN100416</t>
        </is>
      </c>
      <c r="B418" t="n">
        <v>33</v>
      </c>
      <c r="C418" t="n">
        <v>35</v>
      </c>
      <c r="D418" s="6" t="n">
        <v>46024.55694444444</v>
      </c>
      <c r="E418" t="n">
        <v>299</v>
      </c>
      <c r="F418" t="inlineStr">
        <is>
          <t>Card</t>
        </is>
      </c>
      <c r="G418" t="inlineStr">
        <is>
          <t>failed</t>
        </is>
      </c>
      <c r="H418" t="n">
        <v>7</v>
      </c>
      <c r="I418">
        <f>IFERROR(VLOOKUP(C418,Merchants!$A$2:$D$41,2,FALSE),"Merchant not found")</f>
        <v/>
      </c>
      <c r="J418">
        <f>IFERROR(VLOOKUP(C418,Merchants!$A$2:$D$41,3,FALSE),"Merchant not found")</f>
        <v/>
      </c>
      <c r="K418">
        <f>IFERROR(VLOOKUP(C418,Merchants!$A$2:$D$41,4,FALSE),"Merchant not found")</f>
        <v/>
      </c>
      <c r="L418" s="4">
        <f>HLOOKUP(F418,Fee_Tiers!$B$2:$E$3,2,FALSE)</f>
        <v/>
      </c>
      <c r="M418">
        <f>E418*L418</f>
        <v/>
      </c>
      <c r="N418" s="5" t="n">
        <v>46024</v>
      </c>
      <c r="O418">
        <f>C418&amp;"_"&amp;TEXT(N418,"yyyy-mm-dd")</f>
        <v/>
      </c>
      <c r="P418">
        <f>IFERROR(VLOOKUP(O418,Merchant_Day_Analysis!$A$5:$G$447,7,FALSE),"Not found")</f>
        <v/>
      </c>
    </row>
    <row r="419">
      <c r="A419" t="inlineStr">
        <is>
          <t>TXN100417</t>
        </is>
      </c>
      <c r="B419" t="n">
        <v>242</v>
      </c>
      <c r="C419" t="n">
        <v>3</v>
      </c>
      <c r="D419" s="6" t="n">
        <v>46052.12430555555</v>
      </c>
      <c r="E419" t="n">
        <v>49</v>
      </c>
      <c r="F419" t="inlineStr">
        <is>
          <t>UPI</t>
        </is>
      </c>
      <c r="G419" t="inlineStr">
        <is>
          <t>captured</t>
        </is>
      </c>
      <c r="H419" t="n">
        <v>36</v>
      </c>
      <c r="I419">
        <f>IFERROR(VLOOKUP(C419,Merchants!$A$2:$D$41,2,FALSE),"Merchant not found")</f>
        <v/>
      </c>
      <c r="J419">
        <f>IFERROR(VLOOKUP(C419,Merchants!$A$2:$D$41,3,FALSE),"Merchant not found")</f>
        <v/>
      </c>
      <c r="K419">
        <f>IFERROR(VLOOKUP(C419,Merchants!$A$2:$D$41,4,FALSE),"Merchant not found")</f>
        <v/>
      </c>
      <c r="L419" s="4">
        <f>HLOOKUP(F419,Fee_Tiers!$B$2:$E$3,2,FALSE)</f>
        <v/>
      </c>
      <c r="M419">
        <f>E419*L419</f>
        <v/>
      </c>
      <c r="N419" s="5" t="n">
        <v>46052</v>
      </c>
      <c r="O419">
        <f>C419&amp;"_"&amp;TEXT(N419,"yyyy-mm-dd")</f>
        <v/>
      </c>
      <c r="P419">
        <f>IFERROR(VLOOKUP(O419,Merchant_Day_Analysis!$A$5:$G$447,7,FALSE),"Not found")</f>
        <v/>
      </c>
    </row>
    <row r="420">
      <c r="A420" t="inlineStr">
        <is>
          <t>TXN100418</t>
        </is>
      </c>
      <c r="B420" t="n">
        <v>70</v>
      </c>
      <c r="C420" t="n">
        <v>27</v>
      </c>
      <c r="D420" s="6" t="n">
        <v>46036.24236111111</v>
      </c>
      <c r="E420" t="n">
        <v>149</v>
      </c>
      <c r="F420" t="inlineStr">
        <is>
          <t>UPI</t>
        </is>
      </c>
      <c r="G420" t="inlineStr">
        <is>
          <t>captured</t>
        </is>
      </c>
      <c r="H420" t="n">
        <v>47</v>
      </c>
      <c r="I420">
        <f>IFERROR(VLOOKUP(C420,Merchants!$A$2:$D$41,2,FALSE),"Merchant not found")</f>
        <v/>
      </c>
      <c r="J420">
        <f>IFERROR(VLOOKUP(C420,Merchants!$A$2:$D$41,3,FALSE),"Merchant not found")</f>
        <v/>
      </c>
      <c r="K420">
        <f>IFERROR(VLOOKUP(C420,Merchants!$A$2:$D$41,4,FALSE),"Merchant not found")</f>
        <v/>
      </c>
      <c r="L420" s="4">
        <f>HLOOKUP(F420,Fee_Tiers!$B$2:$E$3,2,FALSE)</f>
        <v/>
      </c>
      <c r="M420">
        <f>E420*L420</f>
        <v/>
      </c>
      <c r="N420" s="5" t="n">
        <v>46036</v>
      </c>
      <c r="O420">
        <f>C420&amp;"_"&amp;TEXT(N420,"yyyy-mm-dd")</f>
        <v/>
      </c>
      <c r="P420">
        <f>IFERROR(VLOOKUP(O420,Merchant_Day_Analysis!$A$5:$G$447,7,FALSE),"Not found")</f>
        <v/>
      </c>
    </row>
    <row r="421">
      <c r="A421" t="inlineStr">
        <is>
          <t>TXN100419</t>
        </is>
      </c>
      <c r="B421" t="n">
        <v>194</v>
      </c>
      <c r="C421" t="n">
        <v>25</v>
      </c>
      <c r="D421" s="6" t="n">
        <v>46051.51944444444</v>
      </c>
      <c r="E421" t="n">
        <v>49</v>
      </c>
      <c r="F421" t="inlineStr">
        <is>
          <t>Wallet</t>
        </is>
      </c>
      <c r="G421" t="inlineStr">
        <is>
          <t>captured</t>
        </is>
      </c>
      <c r="H421" t="n">
        <v>10</v>
      </c>
      <c r="I421">
        <f>IFERROR(VLOOKUP(C421,Merchants!$A$2:$D$41,2,FALSE),"Merchant not found")</f>
        <v/>
      </c>
      <c r="J421">
        <f>IFERROR(VLOOKUP(C421,Merchants!$A$2:$D$41,3,FALSE),"Merchant not found")</f>
        <v/>
      </c>
      <c r="K421">
        <f>IFERROR(VLOOKUP(C421,Merchants!$A$2:$D$41,4,FALSE),"Merchant not found")</f>
        <v/>
      </c>
      <c r="L421" s="4">
        <f>HLOOKUP(F421,Fee_Tiers!$B$2:$E$3,2,FALSE)</f>
        <v/>
      </c>
      <c r="M421">
        <f>E421*L421</f>
        <v/>
      </c>
      <c r="N421" s="5" t="n">
        <v>46051</v>
      </c>
      <c r="O421">
        <f>C421&amp;"_"&amp;TEXT(N421,"yyyy-mm-dd")</f>
        <v/>
      </c>
      <c r="P421">
        <f>IFERROR(VLOOKUP(O421,Merchant_Day_Analysis!$A$5:$G$447,7,FALSE),"Not found")</f>
        <v/>
      </c>
    </row>
    <row r="422">
      <c r="A422" t="inlineStr">
        <is>
          <t>TXN100420</t>
        </is>
      </c>
      <c r="B422" t="n">
        <v>277</v>
      </c>
      <c r="C422" t="n">
        <v>9</v>
      </c>
      <c r="D422" s="6" t="n">
        <v>46044.91319444445</v>
      </c>
      <c r="E422" t="n">
        <v>799</v>
      </c>
      <c r="F422" t="inlineStr">
        <is>
          <t>UPI</t>
        </is>
      </c>
      <c r="G422" t="inlineStr">
        <is>
          <t>captured</t>
        </is>
      </c>
      <c r="H422" t="n">
        <v>83</v>
      </c>
      <c r="I422">
        <f>IFERROR(VLOOKUP(C422,Merchants!$A$2:$D$41,2,FALSE),"Merchant not found")</f>
        <v/>
      </c>
      <c r="J422">
        <f>IFERROR(VLOOKUP(C422,Merchants!$A$2:$D$41,3,FALSE),"Merchant not found")</f>
        <v/>
      </c>
      <c r="K422">
        <f>IFERROR(VLOOKUP(C422,Merchants!$A$2:$D$41,4,FALSE),"Merchant not found")</f>
        <v/>
      </c>
      <c r="L422" s="4">
        <f>HLOOKUP(F422,Fee_Tiers!$B$2:$E$3,2,FALSE)</f>
        <v/>
      </c>
      <c r="M422">
        <f>E422*L422</f>
        <v/>
      </c>
      <c r="N422" s="5" t="n">
        <v>46044</v>
      </c>
      <c r="O422">
        <f>C422&amp;"_"&amp;TEXT(N422,"yyyy-mm-dd")</f>
        <v/>
      </c>
      <c r="P422">
        <f>IFERROR(VLOOKUP(O422,Merchant_Day_Analysis!$A$5:$G$447,7,FALSE),"Not found")</f>
        <v/>
      </c>
    </row>
    <row r="423">
      <c r="A423" t="inlineStr">
        <is>
          <t>TXN100421</t>
        </is>
      </c>
      <c r="B423" t="n">
        <v>92</v>
      </c>
      <c r="C423" t="n">
        <v>35</v>
      </c>
      <c r="D423" s="6" t="n">
        <v>46050.46319444444</v>
      </c>
      <c r="E423" t="n">
        <v>49</v>
      </c>
      <c r="F423" t="inlineStr">
        <is>
          <t>UPI</t>
        </is>
      </c>
      <c r="G423" t="inlineStr">
        <is>
          <t>captured</t>
        </is>
      </c>
      <c r="H423" t="n">
        <v>50</v>
      </c>
      <c r="I423">
        <f>IFERROR(VLOOKUP(C423,Merchants!$A$2:$D$41,2,FALSE),"Merchant not found")</f>
        <v/>
      </c>
      <c r="J423">
        <f>IFERROR(VLOOKUP(C423,Merchants!$A$2:$D$41,3,FALSE),"Merchant not found")</f>
        <v/>
      </c>
      <c r="K423">
        <f>IFERROR(VLOOKUP(C423,Merchants!$A$2:$D$41,4,FALSE),"Merchant not found")</f>
        <v/>
      </c>
      <c r="L423" s="4">
        <f>HLOOKUP(F423,Fee_Tiers!$B$2:$E$3,2,FALSE)</f>
        <v/>
      </c>
      <c r="M423">
        <f>E423*L423</f>
        <v/>
      </c>
      <c r="N423" s="5" t="n">
        <v>46050</v>
      </c>
      <c r="O423">
        <f>C423&amp;"_"&amp;TEXT(N423,"yyyy-mm-dd")</f>
        <v/>
      </c>
      <c r="P423">
        <f>IFERROR(VLOOKUP(O423,Merchant_Day_Analysis!$A$5:$G$447,7,FALSE),"Not found")</f>
        <v/>
      </c>
    </row>
    <row r="424">
      <c r="A424" t="inlineStr">
        <is>
          <t>TXN100422</t>
        </is>
      </c>
      <c r="B424" t="n">
        <v>115</v>
      </c>
      <c r="C424" t="n">
        <v>1</v>
      </c>
      <c r="D424" s="6" t="n">
        <v>46039.19861111111</v>
      </c>
      <c r="E424" t="n">
        <v>149</v>
      </c>
      <c r="F424" t="inlineStr">
        <is>
          <t>Wallet</t>
        </is>
      </c>
      <c r="G424" t="inlineStr">
        <is>
          <t>captured</t>
        </is>
      </c>
      <c r="H424" t="n">
        <v>96</v>
      </c>
      <c r="I424">
        <f>IFERROR(VLOOKUP(C424,Merchants!$A$2:$D$41,2,FALSE),"Merchant not found")</f>
        <v/>
      </c>
      <c r="J424">
        <f>IFERROR(VLOOKUP(C424,Merchants!$A$2:$D$41,3,FALSE),"Merchant not found")</f>
        <v/>
      </c>
      <c r="K424">
        <f>IFERROR(VLOOKUP(C424,Merchants!$A$2:$D$41,4,FALSE),"Merchant not found")</f>
        <v/>
      </c>
      <c r="L424" s="4">
        <f>HLOOKUP(F424,Fee_Tiers!$B$2:$E$3,2,FALSE)</f>
        <v/>
      </c>
      <c r="M424">
        <f>E424*L424</f>
        <v/>
      </c>
      <c r="N424" s="5" t="n">
        <v>46039</v>
      </c>
      <c r="O424">
        <f>C424&amp;"_"&amp;TEXT(N424,"yyyy-mm-dd")</f>
        <v/>
      </c>
      <c r="P424">
        <f>IFERROR(VLOOKUP(O424,Merchant_Day_Analysis!$A$5:$G$447,7,FALSE),"Not found")</f>
        <v/>
      </c>
    </row>
    <row r="425">
      <c r="A425" t="inlineStr">
        <is>
          <t>TXN100423</t>
        </is>
      </c>
      <c r="B425" t="n">
        <v>345</v>
      </c>
      <c r="C425" t="n">
        <v>35</v>
      </c>
      <c r="D425" s="6" t="n">
        <v>46023.39513888889</v>
      </c>
      <c r="E425" t="n">
        <v>499</v>
      </c>
      <c r="F425" t="inlineStr">
        <is>
          <t>Card</t>
        </is>
      </c>
      <c r="G425" t="inlineStr">
        <is>
          <t>captured</t>
        </is>
      </c>
      <c r="H425" t="n">
        <v>54</v>
      </c>
      <c r="I425">
        <f>IFERROR(VLOOKUP(C425,Merchants!$A$2:$D$41,2,FALSE),"Merchant not found")</f>
        <v/>
      </c>
      <c r="J425">
        <f>IFERROR(VLOOKUP(C425,Merchants!$A$2:$D$41,3,FALSE),"Merchant not found")</f>
        <v/>
      </c>
      <c r="K425">
        <f>IFERROR(VLOOKUP(C425,Merchants!$A$2:$D$41,4,FALSE),"Merchant not found")</f>
        <v/>
      </c>
      <c r="L425" s="4">
        <f>HLOOKUP(F425,Fee_Tiers!$B$2:$E$3,2,FALSE)</f>
        <v/>
      </c>
      <c r="M425">
        <f>E425*L425</f>
        <v/>
      </c>
      <c r="N425" s="5" t="n">
        <v>46023</v>
      </c>
      <c r="O425">
        <f>C425&amp;"_"&amp;TEXT(N425,"yyyy-mm-dd")</f>
        <v/>
      </c>
      <c r="P425">
        <f>IFERROR(VLOOKUP(O425,Merchant_Day_Analysis!$A$5:$G$447,7,FALSE),"Not found")</f>
        <v/>
      </c>
    </row>
    <row r="426">
      <c r="A426" t="inlineStr">
        <is>
          <t>TXN100424</t>
        </is>
      </c>
      <c r="B426" t="n">
        <v>118</v>
      </c>
      <c r="C426" t="n">
        <v>16</v>
      </c>
      <c r="D426" s="6" t="n">
        <v>46040.53611111111</v>
      </c>
      <c r="E426" t="n">
        <v>49</v>
      </c>
      <c r="F426" t="inlineStr">
        <is>
          <t>UPI</t>
        </is>
      </c>
      <c r="G426" t="inlineStr">
        <is>
          <t>captured</t>
        </is>
      </c>
      <c r="H426" t="n">
        <v>58</v>
      </c>
      <c r="I426">
        <f>IFERROR(VLOOKUP(C426,Merchants!$A$2:$D$41,2,FALSE),"Merchant not found")</f>
        <v/>
      </c>
      <c r="J426">
        <f>IFERROR(VLOOKUP(C426,Merchants!$A$2:$D$41,3,FALSE),"Merchant not found")</f>
        <v/>
      </c>
      <c r="K426">
        <f>IFERROR(VLOOKUP(C426,Merchants!$A$2:$D$41,4,FALSE),"Merchant not found")</f>
        <v/>
      </c>
      <c r="L426" s="4">
        <f>HLOOKUP(F426,Fee_Tiers!$B$2:$E$3,2,FALSE)</f>
        <v/>
      </c>
      <c r="M426">
        <f>E426*L426</f>
        <v/>
      </c>
      <c r="N426" s="5" t="n">
        <v>46040</v>
      </c>
      <c r="O426">
        <f>C426&amp;"_"&amp;TEXT(N426,"yyyy-mm-dd")</f>
        <v/>
      </c>
      <c r="P426">
        <f>IFERROR(VLOOKUP(O426,Merchant_Day_Analysis!$A$5:$G$447,7,FALSE),"Not found")</f>
        <v/>
      </c>
    </row>
    <row r="427">
      <c r="A427" t="inlineStr">
        <is>
          <t>TXN100425</t>
        </is>
      </c>
      <c r="B427" t="n">
        <v>97</v>
      </c>
      <c r="C427" t="n">
        <v>8</v>
      </c>
      <c r="D427" s="6" t="n">
        <v>46034.17847222222</v>
      </c>
      <c r="E427" t="n">
        <v>99</v>
      </c>
      <c r="F427" t="inlineStr">
        <is>
          <t>Netbanking</t>
        </is>
      </c>
      <c r="G427" t="inlineStr">
        <is>
          <t>captured</t>
        </is>
      </c>
      <c r="H427" t="n">
        <v>4</v>
      </c>
      <c r="I427">
        <f>IFERROR(VLOOKUP(C427,Merchants!$A$2:$D$41,2,FALSE),"Merchant not found")</f>
        <v/>
      </c>
      <c r="J427">
        <f>IFERROR(VLOOKUP(C427,Merchants!$A$2:$D$41,3,FALSE),"Merchant not found")</f>
        <v/>
      </c>
      <c r="K427">
        <f>IFERROR(VLOOKUP(C427,Merchants!$A$2:$D$41,4,FALSE),"Merchant not found")</f>
        <v/>
      </c>
      <c r="L427" s="4">
        <f>HLOOKUP(F427,Fee_Tiers!$B$2:$E$3,2,FALSE)</f>
        <v/>
      </c>
      <c r="M427">
        <f>E427*L427</f>
        <v/>
      </c>
      <c r="N427" s="5" t="n">
        <v>46034</v>
      </c>
      <c r="O427">
        <f>C427&amp;"_"&amp;TEXT(N427,"yyyy-mm-dd")</f>
        <v/>
      </c>
      <c r="P427">
        <f>IFERROR(VLOOKUP(O427,Merchant_Day_Analysis!$A$5:$G$447,7,FALSE),"Not found")</f>
        <v/>
      </c>
    </row>
    <row r="428">
      <c r="A428" t="inlineStr">
        <is>
          <t>TXN100426</t>
        </is>
      </c>
      <c r="B428" t="n">
        <v>315</v>
      </c>
      <c r="C428" t="n">
        <v>2</v>
      </c>
      <c r="D428" s="6" t="n">
        <v>46048.89305555556</v>
      </c>
      <c r="E428" t="n">
        <v>299</v>
      </c>
      <c r="F428" t="inlineStr">
        <is>
          <t>Wallet</t>
        </is>
      </c>
      <c r="G428" t="inlineStr">
        <is>
          <t>captured</t>
        </is>
      </c>
      <c r="H428" t="n">
        <v>30</v>
      </c>
      <c r="I428">
        <f>IFERROR(VLOOKUP(C428,Merchants!$A$2:$D$41,2,FALSE),"Merchant not found")</f>
        <v/>
      </c>
      <c r="J428">
        <f>IFERROR(VLOOKUP(C428,Merchants!$A$2:$D$41,3,FALSE),"Merchant not found")</f>
        <v/>
      </c>
      <c r="K428">
        <f>IFERROR(VLOOKUP(C428,Merchants!$A$2:$D$41,4,FALSE),"Merchant not found")</f>
        <v/>
      </c>
      <c r="L428" s="4">
        <f>HLOOKUP(F428,Fee_Tiers!$B$2:$E$3,2,FALSE)</f>
        <v/>
      </c>
      <c r="M428">
        <f>E428*L428</f>
        <v/>
      </c>
      <c r="N428" s="5" t="n">
        <v>46048</v>
      </c>
      <c r="O428">
        <f>C428&amp;"_"&amp;TEXT(N428,"yyyy-mm-dd")</f>
        <v/>
      </c>
      <c r="P428">
        <f>IFERROR(VLOOKUP(O428,Merchant_Day_Analysis!$A$5:$G$447,7,FALSE),"Not found")</f>
        <v/>
      </c>
    </row>
    <row r="429">
      <c r="A429" t="inlineStr">
        <is>
          <t>TXN100427</t>
        </is>
      </c>
      <c r="B429" t="n">
        <v>305</v>
      </c>
      <c r="C429" t="n">
        <v>3</v>
      </c>
      <c r="D429" s="6" t="n">
        <v>46029.0875</v>
      </c>
      <c r="E429" t="n">
        <v>299</v>
      </c>
      <c r="F429" t="inlineStr">
        <is>
          <t>UPI</t>
        </is>
      </c>
      <c r="G429" t="inlineStr">
        <is>
          <t>captured</t>
        </is>
      </c>
      <c r="H429" t="n">
        <v>57</v>
      </c>
      <c r="I429">
        <f>IFERROR(VLOOKUP(C429,Merchants!$A$2:$D$41,2,FALSE),"Merchant not found")</f>
        <v/>
      </c>
      <c r="J429">
        <f>IFERROR(VLOOKUP(C429,Merchants!$A$2:$D$41,3,FALSE),"Merchant not found")</f>
        <v/>
      </c>
      <c r="K429">
        <f>IFERROR(VLOOKUP(C429,Merchants!$A$2:$D$41,4,FALSE),"Merchant not found")</f>
        <v/>
      </c>
      <c r="L429" s="4">
        <f>HLOOKUP(F429,Fee_Tiers!$B$2:$E$3,2,FALSE)</f>
        <v/>
      </c>
      <c r="M429">
        <f>E429*L429</f>
        <v/>
      </c>
      <c r="N429" s="5" t="n">
        <v>46029</v>
      </c>
      <c r="O429">
        <f>C429&amp;"_"&amp;TEXT(N429,"yyyy-mm-dd")</f>
        <v/>
      </c>
      <c r="P429">
        <f>IFERROR(VLOOKUP(O429,Merchant_Day_Analysis!$A$5:$G$447,7,FALSE),"Not found")</f>
        <v/>
      </c>
    </row>
    <row r="430">
      <c r="A430" t="inlineStr">
        <is>
          <t>TXN100428</t>
        </is>
      </c>
      <c r="B430" t="n">
        <v>25</v>
      </c>
      <c r="C430" t="n">
        <v>16</v>
      </c>
      <c r="D430" s="6" t="n">
        <v>46042.90625</v>
      </c>
      <c r="E430" t="n">
        <v>299</v>
      </c>
      <c r="F430" t="inlineStr">
        <is>
          <t>UPI</t>
        </is>
      </c>
      <c r="G430" t="inlineStr">
        <is>
          <t>captured</t>
        </is>
      </c>
      <c r="H430" t="n">
        <v>94</v>
      </c>
      <c r="I430">
        <f>IFERROR(VLOOKUP(C430,Merchants!$A$2:$D$41,2,FALSE),"Merchant not found")</f>
        <v/>
      </c>
      <c r="J430">
        <f>IFERROR(VLOOKUP(C430,Merchants!$A$2:$D$41,3,FALSE),"Merchant not found")</f>
        <v/>
      </c>
      <c r="K430">
        <f>IFERROR(VLOOKUP(C430,Merchants!$A$2:$D$41,4,FALSE),"Merchant not found")</f>
        <v/>
      </c>
      <c r="L430" s="4">
        <f>HLOOKUP(F430,Fee_Tiers!$B$2:$E$3,2,FALSE)</f>
        <v/>
      </c>
      <c r="M430">
        <f>E430*L430</f>
        <v/>
      </c>
      <c r="N430" s="5" t="n">
        <v>46042</v>
      </c>
      <c r="O430">
        <f>C430&amp;"_"&amp;TEXT(N430,"yyyy-mm-dd")</f>
        <v/>
      </c>
      <c r="P430">
        <f>IFERROR(VLOOKUP(O430,Merchant_Day_Analysis!$A$5:$G$447,7,FALSE),"Not found")</f>
        <v/>
      </c>
    </row>
    <row r="431">
      <c r="A431" t="inlineStr">
        <is>
          <t>TXN100429</t>
        </is>
      </c>
      <c r="B431" t="n">
        <v>120</v>
      </c>
      <c r="C431" t="n">
        <v>35</v>
      </c>
      <c r="D431" s="6" t="n">
        <v>46024.51944444444</v>
      </c>
      <c r="E431" t="n">
        <v>49</v>
      </c>
      <c r="F431" t="inlineStr">
        <is>
          <t>UPI</t>
        </is>
      </c>
      <c r="G431" t="inlineStr">
        <is>
          <t>captured</t>
        </is>
      </c>
      <c r="H431" t="n">
        <v>27</v>
      </c>
      <c r="I431">
        <f>IFERROR(VLOOKUP(C431,Merchants!$A$2:$D$41,2,FALSE),"Merchant not found")</f>
        <v/>
      </c>
      <c r="J431">
        <f>IFERROR(VLOOKUP(C431,Merchants!$A$2:$D$41,3,FALSE),"Merchant not found")</f>
        <v/>
      </c>
      <c r="K431">
        <f>IFERROR(VLOOKUP(C431,Merchants!$A$2:$D$41,4,FALSE),"Merchant not found")</f>
        <v/>
      </c>
      <c r="L431" s="4">
        <f>HLOOKUP(F431,Fee_Tiers!$B$2:$E$3,2,FALSE)</f>
        <v/>
      </c>
      <c r="M431">
        <f>E431*L431</f>
        <v/>
      </c>
      <c r="N431" s="5" t="n">
        <v>46024</v>
      </c>
      <c r="O431">
        <f>C431&amp;"_"&amp;TEXT(N431,"yyyy-mm-dd")</f>
        <v/>
      </c>
      <c r="P431">
        <f>IFERROR(VLOOKUP(O431,Merchant_Day_Analysis!$A$5:$G$447,7,FALSE),"Not found")</f>
        <v/>
      </c>
    </row>
    <row r="432">
      <c r="A432" t="inlineStr">
        <is>
          <t>TXN100430</t>
        </is>
      </c>
      <c r="B432" t="n">
        <v>258</v>
      </c>
      <c r="C432" t="n">
        <v>19</v>
      </c>
      <c r="D432" s="6" t="n">
        <v>46047.04722222222</v>
      </c>
      <c r="E432" t="n">
        <v>49</v>
      </c>
      <c r="F432" t="inlineStr">
        <is>
          <t>Wallet</t>
        </is>
      </c>
      <c r="G432" t="inlineStr">
        <is>
          <t>captured</t>
        </is>
      </c>
      <c r="H432" t="n">
        <v>29</v>
      </c>
      <c r="I432">
        <f>IFERROR(VLOOKUP(C432,Merchants!$A$2:$D$41,2,FALSE),"Merchant not found")</f>
        <v/>
      </c>
      <c r="J432">
        <f>IFERROR(VLOOKUP(C432,Merchants!$A$2:$D$41,3,FALSE),"Merchant not found")</f>
        <v/>
      </c>
      <c r="K432">
        <f>IFERROR(VLOOKUP(C432,Merchants!$A$2:$D$41,4,FALSE),"Merchant not found")</f>
        <v/>
      </c>
      <c r="L432" s="4">
        <f>HLOOKUP(F432,Fee_Tiers!$B$2:$E$3,2,FALSE)</f>
        <v/>
      </c>
      <c r="M432">
        <f>E432*L432</f>
        <v/>
      </c>
      <c r="N432" s="5" t="n">
        <v>46047</v>
      </c>
      <c r="O432">
        <f>C432&amp;"_"&amp;TEXT(N432,"yyyy-mm-dd")</f>
        <v/>
      </c>
      <c r="P432">
        <f>IFERROR(VLOOKUP(O432,Merchant_Day_Analysis!$A$5:$G$447,7,FALSE),"Not found")</f>
        <v/>
      </c>
    </row>
    <row r="433">
      <c r="A433" t="inlineStr">
        <is>
          <t>TXN100431</t>
        </is>
      </c>
      <c r="B433" t="n">
        <v>164</v>
      </c>
      <c r="C433" t="n">
        <v>37</v>
      </c>
      <c r="D433" s="6" t="n">
        <v>46049.98333333333</v>
      </c>
      <c r="E433" t="n">
        <v>799</v>
      </c>
      <c r="F433" t="inlineStr">
        <is>
          <t>UPI</t>
        </is>
      </c>
      <c r="G433" t="inlineStr">
        <is>
          <t>captured</t>
        </is>
      </c>
      <c r="H433" t="n">
        <v>76</v>
      </c>
      <c r="I433">
        <f>IFERROR(VLOOKUP(C433,Merchants!$A$2:$D$41,2,FALSE),"Merchant not found")</f>
        <v/>
      </c>
      <c r="J433">
        <f>IFERROR(VLOOKUP(C433,Merchants!$A$2:$D$41,3,FALSE),"Merchant not found")</f>
        <v/>
      </c>
      <c r="K433">
        <f>IFERROR(VLOOKUP(C433,Merchants!$A$2:$D$41,4,FALSE),"Merchant not found")</f>
        <v/>
      </c>
      <c r="L433" s="4">
        <f>HLOOKUP(F433,Fee_Tiers!$B$2:$E$3,2,FALSE)</f>
        <v/>
      </c>
      <c r="M433">
        <f>E433*L433</f>
        <v/>
      </c>
      <c r="N433" s="5" t="n">
        <v>46049</v>
      </c>
      <c r="O433">
        <f>C433&amp;"_"&amp;TEXT(N433,"yyyy-mm-dd")</f>
        <v/>
      </c>
      <c r="P433">
        <f>IFERROR(VLOOKUP(O433,Merchant_Day_Analysis!$A$5:$G$447,7,FALSE),"Not found")</f>
        <v/>
      </c>
    </row>
    <row r="434">
      <c r="A434" t="inlineStr">
        <is>
          <t>TXN100432</t>
        </is>
      </c>
      <c r="B434" t="n">
        <v>165</v>
      </c>
      <c r="C434" t="n">
        <v>16</v>
      </c>
      <c r="D434" s="6" t="n">
        <v>46047.91111111111</v>
      </c>
      <c r="E434" t="n">
        <v>49</v>
      </c>
      <c r="F434" t="inlineStr">
        <is>
          <t>Wallet</t>
        </is>
      </c>
      <c r="G434" t="inlineStr">
        <is>
          <t>captured</t>
        </is>
      </c>
      <c r="H434" t="n">
        <v>38</v>
      </c>
      <c r="I434">
        <f>IFERROR(VLOOKUP(C434,Merchants!$A$2:$D$41,2,FALSE),"Merchant not found")</f>
        <v/>
      </c>
      <c r="J434">
        <f>IFERROR(VLOOKUP(C434,Merchants!$A$2:$D$41,3,FALSE),"Merchant not found")</f>
        <v/>
      </c>
      <c r="K434">
        <f>IFERROR(VLOOKUP(C434,Merchants!$A$2:$D$41,4,FALSE),"Merchant not found")</f>
        <v/>
      </c>
      <c r="L434" s="4">
        <f>HLOOKUP(F434,Fee_Tiers!$B$2:$E$3,2,FALSE)</f>
        <v/>
      </c>
      <c r="M434">
        <f>E434*L434</f>
        <v/>
      </c>
      <c r="N434" s="5" t="n">
        <v>46047</v>
      </c>
      <c r="O434">
        <f>C434&amp;"_"&amp;TEXT(N434,"yyyy-mm-dd")</f>
        <v/>
      </c>
      <c r="P434">
        <f>IFERROR(VLOOKUP(O434,Merchant_Day_Analysis!$A$5:$G$447,7,FALSE),"Not found")</f>
        <v/>
      </c>
    </row>
    <row r="435">
      <c r="A435" t="inlineStr">
        <is>
          <t>TXN100433</t>
        </is>
      </c>
      <c r="B435" t="n">
        <v>267</v>
      </c>
      <c r="C435" t="n">
        <v>15</v>
      </c>
      <c r="D435" s="6" t="n">
        <v>46051.19583333333</v>
      </c>
      <c r="E435" t="n">
        <v>49</v>
      </c>
      <c r="F435" t="inlineStr">
        <is>
          <t>Netbanking</t>
        </is>
      </c>
      <c r="G435" t="inlineStr">
        <is>
          <t>captured</t>
        </is>
      </c>
      <c r="H435" t="n">
        <v>52</v>
      </c>
      <c r="I435">
        <f>IFERROR(VLOOKUP(C435,Merchants!$A$2:$D$41,2,FALSE),"Merchant not found")</f>
        <v/>
      </c>
      <c r="J435">
        <f>IFERROR(VLOOKUP(C435,Merchants!$A$2:$D$41,3,FALSE),"Merchant not found")</f>
        <v/>
      </c>
      <c r="K435">
        <f>IFERROR(VLOOKUP(C435,Merchants!$A$2:$D$41,4,FALSE),"Merchant not found")</f>
        <v/>
      </c>
      <c r="L435" s="4">
        <f>HLOOKUP(F435,Fee_Tiers!$B$2:$E$3,2,FALSE)</f>
        <v/>
      </c>
      <c r="M435">
        <f>E435*L435</f>
        <v/>
      </c>
      <c r="N435" s="5" t="n">
        <v>46051</v>
      </c>
      <c r="O435">
        <f>C435&amp;"_"&amp;TEXT(N435,"yyyy-mm-dd")</f>
        <v/>
      </c>
      <c r="P435">
        <f>IFERROR(VLOOKUP(O435,Merchant_Day_Analysis!$A$5:$G$447,7,FALSE),"Not found")</f>
        <v/>
      </c>
    </row>
    <row r="436">
      <c r="A436" t="inlineStr">
        <is>
          <t>TXN100434</t>
        </is>
      </c>
      <c r="B436" t="n">
        <v>286</v>
      </c>
      <c r="C436" t="n">
        <v>38</v>
      </c>
      <c r="D436" s="6" t="n">
        <v>46032.33541666667</v>
      </c>
      <c r="E436" t="n">
        <v>299</v>
      </c>
      <c r="F436" t="inlineStr">
        <is>
          <t>Wallet</t>
        </is>
      </c>
      <c r="G436" t="inlineStr">
        <is>
          <t>captured</t>
        </is>
      </c>
      <c r="H436" t="n">
        <v>94</v>
      </c>
      <c r="I436">
        <f>IFERROR(VLOOKUP(C436,Merchants!$A$2:$D$41,2,FALSE),"Merchant not found")</f>
        <v/>
      </c>
      <c r="J436">
        <f>IFERROR(VLOOKUP(C436,Merchants!$A$2:$D$41,3,FALSE),"Merchant not found")</f>
        <v/>
      </c>
      <c r="K436">
        <f>IFERROR(VLOOKUP(C436,Merchants!$A$2:$D$41,4,FALSE),"Merchant not found")</f>
        <v/>
      </c>
      <c r="L436" s="4">
        <f>HLOOKUP(F436,Fee_Tiers!$B$2:$E$3,2,FALSE)</f>
        <v/>
      </c>
      <c r="M436">
        <f>E436*L436</f>
        <v/>
      </c>
      <c r="N436" s="5" t="n">
        <v>46032</v>
      </c>
      <c r="O436">
        <f>C436&amp;"_"&amp;TEXT(N436,"yyyy-mm-dd")</f>
        <v/>
      </c>
      <c r="P436">
        <f>IFERROR(VLOOKUP(O436,Merchant_Day_Analysis!$A$5:$G$447,7,FALSE),"Not found")</f>
        <v/>
      </c>
    </row>
    <row r="437">
      <c r="A437" t="inlineStr">
        <is>
          <t>TXN100435</t>
        </is>
      </c>
      <c r="B437" t="n">
        <v>348</v>
      </c>
      <c r="C437" t="n">
        <v>28</v>
      </c>
      <c r="D437" s="6" t="n">
        <v>46052.23611111111</v>
      </c>
      <c r="E437" t="n">
        <v>499</v>
      </c>
      <c r="F437" t="inlineStr">
        <is>
          <t>Card</t>
        </is>
      </c>
      <c r="G437" t="inlineStr">
        <is>
          <t>captured</t>
        </is>
      </c>
      <c r="H437" t="n">
        <v>71</v>
      </c>
      <c r="I437">
        <f>IFERROR(VLOOKUP(C437,Merchants!$A$2:$D$41,2,FALSE),"Merchant not found")</f>
        <v/>
      </c>
      <c r="J437">
        <f>IFERROR(VLOOKUP(C437,Merchants!$A$2:$D$41,3,FALSE),"Merchant not found")</f>
        <v/>
      </c>
      <c r="K437">
        <f>IFERROR(VLOOKUP(C437,Merchants!$A$2:$D$41,4,FALSE),"Merchant not found")</f>
        <v/>
      </c>
      <c r="L437" s="4">
        <f>HLOOKUP(F437,Fee_Tiers!$B$2:$E$3,2,FALSE)</f>
        <v/>
      </c>
      <c r="M437">
        <f>E437*L437</f>
        <v/>
      </c>
      <c r="N437" s="5" t="n">
        <v>46052</v>
      </c>
      <c r="O437">
        <f>C437&amp;"_"&amp;TEXT(N437,"yyyy-mm-dd")</f>
        <v/>
      </c>
      <c r="P437">
        <f>IFERROR(VLOOKUP(O437,Merchant_Day_Analysis!$A$5:$G$447,7,FALSE),"Not found")</f>
        <v/>
      </c>
    </row>
    <row r="438">
      <c r="A438" t="inlineStr">
        <is>
          <t>TXN100436</t>
        </is>
      </c>
      <c r="B438" t="n">
        <v>330</v>
      </c>
      <c r="C438" t="n">
        <v>25</v>
      </c>
      <c r="D438" s="6" t="n">
        <v>46038.05694444444</v>
      </c>
      <c r="E438" t="n">
        <v>799</v>
      </c>
      <c r="F438" t="inlineStr">
        <is>
          <t>UPI</t>
        </is>
      </c>
      <c r="G438" t="inlineStr">
        <is>
          <t>captured</t>
        </is>
      </c>
      <c r="H438" t="n">
        <v>100</v>
      </c>
      <c r="I438">
        <f>IFERROR(VLOOKUP(C438,Merchants!$A$2:$D$41,2,FALSE),"Merchant not found")</f>
        <v/>
      </c>
      <c r="J438">
        <f>IFERROR(VLOOKUP(C438,Merchants!$A$2:$D$41,3,FALSE),"Merchant not found")</f>
        <v/>
      </c>
      <c r="K438">
        <f>IFERROR(VLOOKUP(C438,Merchants!$A$2:$D$41,4,FALSE),"Merchant not found")</f>
        <v/>
      </c>
      <c r="L438" s="4">
        <f>HLOOKUP(F438,Fee_Tiers!$B$2:$E$3,2,FALSE)</f>
        <v/>
      </c>
      <c r="M438">
        <f>E438*L438</f>
        <v/>
      </c>
      <c r="N438" s="5" t="n">
        <v>46038</v>
      </c>
      <c r="O438">
        <f>C438&amp;"_"&amp;TEXT(N438,"yyyy-mm-dd")</f>
        <v/>
      </c>
      <c r="P438">
        <f>IFERROR(VLOOKUP(O438,Merchant_Day_Analysis!$A$5:$G$447,7,FALSE),"Not found")</f>
        <v/>
      </c>
    </row>
    <row r="439">
      <c r="A439" t="inlineStr">
        <is>
          <t>TXN100437</t>
        </is>
      </c>
      <c r="B439" t="n">
        <v>214</v>
      </c>
      <c r="C439" t="n">
        <v>27</v>
      </c>
      <c r="D439" s="6" t="n">
        <v>46039.44722222222</v>
      </c>
      <c r="E439" t="n">
        <v>299</v>
      </c>
      <c r="F439" t="inlineStr">
        <is>
          <t>Card</t>
        </is>
      </c>
      <c r="G439" t="inlineStr">
        <is>
          <t>captured</t>
        </is>
      </c>
      <c r="H439" t="n">
        <v>19</v>
      </c>
      <c r="I439">
        <f>IFERROR(VLOOKUP(C439,Merchants!$A$2:$D$41,2,FALSE),"Merchant not found")</f>
        <v/>
      </c>
      <c r="J439">
        <f>IFERROR(VLOOKUP(C439,Merchants!$A$2:$D$41,3,FALSE),"Merchant not found")</f>
        <v/>
      </c>
      <c r="K439">
        <f>IFERROR(VLOOKUP(C439,Merchants!$A$2:$D$41,4,FALSE),"Merchant not found")</f>
        <v/>
      </c>
      <c r="L439" s="4">
        <f>HLOOKUP(F439,Fee_Tiers!$B$2:$E$3,2,FALSE)</f>
        <v/>
      </c>
      <c r="M439">
        <f>E439*L439</f>
        <v/>
      </c>
      <c r="N439" s="5" t="n">
        <v>46039</v>
      </c>
      <c r="O439">
        <f>C439&amp;"_"&amp;TEXT(N439,"yyyy-mm-dd")</f>
        <v/>
      </c>
      <c r="P439">
        <f>IFERROR(VLOOKUP(O439,Merchant_Day_Analysis!$A$5:$G$447,7,FALSE),"Not found")</f>
        <v/>
      </c>
    </row>
    <row r="440">
      <c r="A440" t="inlineStr">
        <is>
          <t>TXN100438</t>
        </is>
      </c>
      <c r="B440" t="n">
        <v>276</v>
      </c>
      <c r="C440" t="n">
        <v>31</v>
      </c>
      <c r="D440" s="6" t="n">
        <v>46032.50763888889</v>
      </c>
      <c r="E440" t="n">
        <v>499</v>
      </c>
      <c r="F440" t="inlineStr">
        <is>
          <t>UPI</t>
        </is>
      </c>
      <c r="G440" t="inlineStr">
        <is>
          <t>captured</t>
        </is>
      </c>
      <c r="H440" t="n">
        <v>30</v>
      </c>
      <c r="I440">
        <f>IFERROR(VLOOKUP(C440,Merchants!$A$2:$D$41,2,FALSE),"Merchant not found")</f>
        <v/>
      </c>
      <c r="J440">
        <f>IFERROR(VLOOKUP(C440,Merchants!$A$2:$D$41,3,FALSE),"Merchant not found")</f>
        <v/>
      </c>
      <c r="K440">
        <f>IFERROR(VLOOKUP(C440,Merchants!$A$2:$D$41,4,FALSE),"Merchant not found")</f>
        <v/>
      </c>
      <c r="L440" s="4">
        <f>HLOOKUP(F440,Fee_Tiers!$B$2:$E$3,2,FALSE)</f>
        <v/>
      </c>
      <c r="M440">
        <f>E440*L440</f>
        <v/>
      </c>
      <c r="N440" s="5" t="n">
        <v>46032</v>
      </c>
      <c r="O440">
        <f>C440&amp;"_"&amp;TEXT(N440,"yyyy-mm-dd")</f>
        <v/>
      </c>
      <c r="P440">
        <f>IFERROR(VLOOKUP(O440,Merchant_Day_Analysis!$A$5:$G$447,7,FALSE),"Not found")</f>
        <v/>
      </c>
    </row>
    <row r="441">
      <c r="A441" t="inlineStr">
        <is>
          <t>TXN100439</t>
        </is>
      </c>
      <c r="B441" t="n">
        <v>74</v>
      </c>
      <c r="C441" t="n">
        <v>30</v>
      </c>
      <c r="D441" s="6" t="n">
        <v>46050.30486111111</v>
      </c>
      <c r="E441" t="n">
        <v>49</v>
      </c>
      <c r="F441" t="inlineStr">
        <is>
          <t>UPI</t>
        </is>
      </c>
      <c r="G441" t="inlineStr">
        <is>
          <t>captured</t>
        </is>
      </c>
      <c r="H441" t="n">
        <v>7</v>
      </c>
      <c r="I441">
        <f>IFERROR(VLOOKUP(C441,Merchants!$A$2:$D$41,2,FALSE),"Merchant not found")</f>
        <v/>
      </c>
      <c r="J441">
        <f>IFERROR(VLOOKUP(C441,Merchants!$A$2:$D$41,3,FALSE),"Merchant not found")</f>
        <v/>
      </c>
      <c r="K441">
        <f>IFERROR(VLOOKUP(C441,Merchants!$A$2:$D$41,4,FALSE),"Merchant not found")</f>
        <v/>
      </c>
      <c r="L441" s="4">
        <f>HLOOKUP(F441,Fee_Tiers!$B$2:$E$3,2,FALSE)</f>
        <v/>
      </c>
      <c r="M441">
        <f>E441*L441</f>
        <v/>
      </c>
      <c r="N441" s="5" t="n">
        <v>46050</v>
      </c>
      <c r="O441">
        <f>C441&amp;"_"&amp;TEXT(N441,"yyyy-mm-dd")</f>
        <v/>
      </c>
      <c r="P441">
        <f>IFERROR(VLOOKUP(O441,Merchant_Day_Analysis!$A$5:$G$447,7,FALSE),"Not found")</f>
        <v/>
      </c>
    </row>
    <row r="442">
      <c r="A442" t="inlineStr">
        <is>
          <t>TXN100440</t>
        </is>
      </c>
      <c r="B442" t="n">
        <v>286</v>
      </c>
      <c r="C442" t="n">
        <v>34</v>
      </c>
      <c r="D442" s="6" t="n">
        <v>46040.55972222222</v>
      </c>
      <c r="E442" t="n">
        <v>49</v>
      </c>
      <c r="F442" t="inlineStr">
        <is>
          <t>Card</t>
        </is>
      </c>
      <c r="G442" t="inlineStr">
        <is>
          <t>captured</t>
        </is>
      </c>
      <c r="H442" t="n">
        <v>17</v>
      </c>
      <c r="I442">
        <f>IFERROR(VLOOKUP(C442,Merchants!$A$2:$D$41,2,FALSE),"Merchant not found")</f>
        <v/>
      </c>
      <c r="J442">
        <f>IFERROR(VLOOKUP(C442,Merchants!$A$2:$D$41,3,FALSE),"Merchant not found")</f>
        <v/>
      </c>
      <c r="K442">
        <f>IFERROR(VLOOKUP(C442,Merchants!$A$2:$D$41,4,FALSE),"Merchant not found")</f>
        <v/>
      </c>
      <c r="L442" s="4">
        <f>HLOOKUP(F442,Fee_Tiers!$B$2:$E$3,2,FALSE)</f>
        <v/>
      </c>
      <c r="M442">
        <f>E442*L442</f>
        <v/>
      </c>
      <c r="N442" s="5" t="n">
        <v>46040</v>
      </c>
      <c r="O442">
        <f>C442&amp;"_"&amp;TEXT(N442,"yyyy-mm-dd")</f>
        <v/>
      </c>
      <c r="P442">
        <f>IFERROR(VLOOKUP(O442,Merchant_Day_Analysis!$A$5:$G$447,7,FALSE),"Not found")</f>
        <v/>
      </c>
    </row>
    <row r="443">
      <c r="A443" t="inlineStr">
        <is>
          <t>TXN100441</t>
        </is>
      </c>
      <c r="B443" t="n">
        <v>105</v>
      </c>
      <c r="C443" t="n">
        <v>22</v>
      </c>
      <c r="D443" s="6" t="n">
        <v>46035.30277777778</v>
      </c>
      <c r="E443" t="n">
        <v>4999</v>
      </c>
      <c r="F443" t="inlineStr">
        <is>
          <t>UPI</t>
        </is>
      </c>
      <c r="G443" t="inlineStr">
        <is>
          <t>captured</t>
        </is>
      </c>
      <c r="H443" t="n">
        <v>82</v>
      </c>
      <c r="I443">
        <f>IFERROR(VLOOKUP(C443,Merchants!$A$2:$D$41,2,FALSE),"Merchant not found")</f>
        <v/>
      </c>
      <c r="J443">
        <f>IFERROR(VLOOKUP(C443,Merchants!$A$2:$D$41,3,FALSE),"Merchant not found")</f>
        <v/>
      </c>
      <c r="K443">
        <f>IFERROR(VLOOKUP(C443,Merchants!$A$2:$D$41,4,FALSE),"Merchant not found")</f>
        <v/>
      </c>
      <c r="L443" s="4">
        <f>HLOOKUP(F443,Fee_Tiers!$B$2:$E$3,2,FALSE)</f>
        <v/>
      </c>
      <c r="M443">
        <f>E443*L443</f>
        <v/>
      </c>
      <c r="N443" s="5" t="n">
        <v>46035</v>
      </c>
      <c r="O443">
        <f>C443&amp;"_"&amp;TEXT(N443,"yyyy-mm-dd")</f>
        <v/>
      </c>
      <c r="P443">
        <f>IFERROR(VLOOKUP(O443,Merchant_Day_Analysis!$A$5:$G$447,7,FALSE),"Not found")</f>
        <v/>
      </c>
    </row>
    <row r="444">
      <c r="A444" t="inlineStr">
        <is>
          <t>TXN100442</t>
        </is>
      </c>
      <c r="B444" t="n">
        <v>190</v>
      </c>
      <c r="C444" t="n">
        <v>6</v>
      </c>
      <c r="D444" s="6" t="n">
        <v>46025.62083333333</v>
      </c>
      <c r="E444" t="n">
        <v>799</v>
      </c>
      <c r="F444" t="inlineStr">
        <is>
          <t>Wallet</t>
        </is>
      </c>
      <c r="G444" t="inlineStr">
        <is>
          <t>captured</t>
        </is>
      </c>
      <c r="H444" t="n">
        <v>68</v>
      </c>
      <c r="I444">
        <f>IFERROR(VLOOKUP(C444,Merchants!$A$2:$D$41,2,FALSE),"Merchant not found")</f>
        <v/>
      </c>
      <c r="J444">
        <f>IFERROR(VLOOKUP(C444,Merchants!$A$2:$D$41,3,FALSE),"Merchant not found")</f>
        <v/>
      </c>
      <c r="K444">
        <f>IFERROR(VLOOKUP(C444,Merchants!$A$2:$D$41,4,FALSE),"Merchant not found")</f>
        <v/>
      </c>
      <c r="L444" s="4">
        <f>HLOOKUP(F444,Fee_Tiers!$B$2:$E$3,2,FALSE)</f>
        <v/>
      </c>
      <c r="M444">
        <f>E444*L444</f>
        <v/>
      </c>
      <c r="N444" s="5" t="n">
        <v>46025</v>
      </c>
      <c r="O444">
        <f>C444&amp;"_"&amp;TEXT(N444,"yyyy-mm-dd")</f>
        <v/>
      </c>
      <c r="P444">
        <f>IFERROR(VLOOKUP(O444,Merchant_Day_Analysis!$A$5:$G$447,7,FALSE),"Not found")</f>
        <v/>
      </c>
    </row>
    <row r="445">
      <c r="A445" t="inlineStr">
        <is>
          <t>TXN100443</t>
        </is>
      </c>
      <c r="B445" t="n">
        <v>138</v>
      </c>
      <c r="C445" t="n">
        <v>25</v>
      </c>
      <c r="D445" s="6" t="n">
        <v>46046.25208333333</v>
      </c>
      <c r="E445" t="n">
        <v>299</v>
      </c>
      <c r="F445" t="inlineStr">
        <is>
          <t>Wallet</t>
        </is>
      </c>
      <c r="G445" t="inlineStr">
        <is>
          <t>captured</t>
        </is>
      </c>
      <c r="H445" t="n">
        <v>86</v>
      </c>
      <c r="I445">
        <f>IFERROR(VLOOKUP(C445,Merchants!$A$2:$D$41,2,FALSE),"Merchant not found")</f>
        <v/>
      </c>
      <c r="J445">
        <f>IFERROR(VLOOKUP(C445,Merchants!$A$2:$D$41,3,FALSE),"Merchant not found")</f>
        <v/>
      </c>
      <c r="K445">
        <f>IFERROR(VLOOKUP(C445,Merchants!$A$2:$D$41,4,FALSE),"Merchant not found")</f>
        <v/>
      </c>
      <c r="L445" s="4">
        <f>HLOOKUP(F445,Fee_Tiers!$B$2:$E$3,2,FALSE)</f>
        <v/>
      </c>
      <c r="M445">
        <f>E445*L445</f>
        <v/>
      </c>
      <c r="N445" s="5" t="n">
        <v>46046</v>
      </c>
      <c r="O445">
        <f>C445&amp;"_"&amp;TEXT(N445,"yyyy-mm-dd")</f>
        <v/>
      </c>
      <c r="P445">
        <f>IFERROR(VLOOKUP(O445,Merchant_Day_Analysis!$A$5:$G$447,7,FALSE),"Not found")</f>
        <v/>
      </c>
    </row>
    <row r="446">
      <c r="A446" t="inlineStr">
        <is>
          <t>TXN100444</t>
        </is>
      </c>
      <c r="B446" t="n">
        <v>38</v>
      </c>
      <c r="C446" t="n">
        <v>13</v>
      </c>
      <c r="D446" s="6" t="n">
        <v>46042.79305555556</v>
      </c>
      <c r="E446" t="n">
        <v>4999</v>
      </c>
      <c r="F446" t="inlineStr">
        <is>
          <t>Netbanking</t>
        </is>
      </c>
      <c r="G446" t="inlineStr">
        <is>
          <t>captured</t>
        </is>
      </c>
      <c r="H446" t="n">
        <v>97</v>
      </c>
      <c r="I446">
        <f>IFERROR(VLOOKUP(C446,Merchants!$A$2:$D$41,2,FALSE),"Merchant not found")</f>
        <v/>
      </c>
      <c r="J446">
        <f>IFERROR(VLOOKUP(C446,Merchants!$A$2:$D$41,3,FALSE),"Merchant not found")</f>
        <v/>
      </c>
      <c r="K446">
        <f>IFERROR(VLOOKUP(C446,Merchants!$A$2:$D$41,4,FALSE),"Merchant not found")</f>
        <v/>
      </c>
      <c r="L446" s="4">
        <f>HLOOKUP(F446,Fee_Tiers!$B$2:$E$3,2,FALSE)</f>
        <v/>
      </c>
      <c r="M446">
        <f>E446*L446</f>
        <v/>
      </c>
      <c r="N446" s="5" t="n">
        <v>46042</v>
      </c>
      <c r="O446">
        <f>C446&amp;"_"&amp;TEXT(N446,"yyyy-mm-dd")</f>
        <v/>
      </c>
      <c r="P446">
        <f>IFERROR(VLOOKUP(O446,Merchant_Day_Analysis!$A$5:$G$447,7,FALSE),"Not found")</f>
        <v/>
      </c>
    </row>
    <row r="447">
      <c r="A447" t="inlineStr">
        <is>
          <t>TXN100445</t>
        </is>
      </c>
      <c r="B447" t="n">
        <v>287</v>
      </c>
      <c r="C447" t="n">
        <v>14</v>
      </c>
      <c r="D447" s="6" t="n">
        <v>46041.9875</v>
      </c>
      <c r="E447" t="n">
        <v>99</v>
      </c>
      <c r="F447" t="inlineStr">
        <is>
          <t>Wallet</t>
        </is>
      </c>
      <c r="G447" t="inlineStr">
        <is>
          <t>captured</t>
        </is>
      </c>
      <c r="H447" t="n">
        <v>61</v>
      </c>
      <c r="I447">
        <f>IFERROR(VLOOKUP(C447,Merchants!$A$2:$D$41,2,FALSE),"Merchant not found")</f>
        <v/>
      </c>
      <c r="J447">
        <f>IFERROR(VLOOKUP(C447,Merchants!$A$2:$D$41,3,FALSE),"Merchant not found")</f>
        <v/>
      </c>
      <c r="K447">
        <f>IFERROR(VLOOKUP(C447,Merchants!$A$2:$D$41,4,FALSE),"Merchant not found")</f>
        <v/>
      </c>
      <c r="L447" s="4">
        <f>HLOOKUP(F447,Fee_Tiers!$B$2:$E$3,2,FALSE)</f>
        <v/>
      </c>
      <c r="M447">
        <f>E447*L447</f>
        <v/>
      </c>
      <c r="N447" s="5" t="n">
        <v>46041</v>
      </c>
      <c r="O447">
        <f>C447&amp;"_"&amp;TEXT(N447,"yyyy-mm-dd")</f>
        <v/>
      </c>
      <c r="P447">
        <f>IFERROR(VLOOKUP(O447,Merchant_Day_Analysis!$A$5:$G$447,7,FALSE),"Not found")</f>
        <v/>
      </c>
    </row>
    <row r="448">
      <c r="A448" t="inlineStr">
        <is>
          <t>TXN100446</t>
        </is>
      </c>
      <c r="B448" t="n">
        <v>8</v>
      </c>
      <c r="C448" t="n">
        <v>14</v>
      </c>
      <c r="D448" s="6" t="n">
        <v>46029.42986111111</v>
      </c>
      <c r="E448" t="n">
        <v>49</v>
      </c>
      <c r="F448" t="inlineStr">
        <is>
          <t>UPI</t>
        </is>
      </c>
      <c r="G448" t="inlineStr">
        <is>
          <t>captured</t>
        </is>
      </c>
      <c r="H448" t="n">
        <v>24</v>
      </c>
      <c r="I448">
        <f>IFERROR(VLOOKUP(C448,Merchants!$A$2:$D$41,2,FALSE),"Merchant not found")</f>
        <v/>
      </c>
      <c r="J448">
        <f>IFERROR(VLOOKUP(C448,Merchants!$A$2:$D$41,3,FALSE),"Merchant not found")</f>
        <v/>
      </c>
      <c r="K448">
        <f>IFERROR(VLOOKUP(C448,Merchants!$A$2:$D$41,4,FALSE),"Merchant not found")</f>
        <v/>
      </c>
      <c r="L448" s="4">
        <f>HLOOKUP(F448,Fee_Tiers!$B$2:$E$3,2,FALSE)</f>
        <v/>
      </c>
      <c r="M448">
        <f>E448*L448</f>
        <v/>
      </c>
      <c r="N448" s="5" t="n">
        <v>46029</v>
      </c>
      <c r="O448">
        <f>C448&amp;"_"&amp;TEXT(N448,"yyyy-mm-dd")</f>
        <v/>
      </c>
      <c r="P448">
        <f>IFERROR(VLOOKUP(O448,Merchant_Day_Analysis!$A$5:$G$447,7,FALSE),"Not found")</f>
        <v/>
      </c>
    </row>
    <row r="449">
      <c r="A449" t="inlineStr">
        <is>
          <t>TXN100447</t>
        </is>
      </c>
      <c r="B449" t="n">
        <v>246</v>
      </c>
      <c r="C449" t="n">
        <v>16</v>
      </c>
      <c r="D449" s="6" t="n">
        <v>46046.15763888889</v>
      </c>
      <c r="E449" t="n">
        <v>1499</v>
      </c>
      <c r="F449" t="inlineStr">
        <is>
          <t>Wallet</t>
        </is>
      </c>
      <c r="G449" t="inlineStr">
        <is>
          <t>captured</t>
        </is>
      </c>
      <c r="H449" t="n">
        <v>89</v>
      </c>
      <c r="I449">
        <f>IFERROR(VLOOKUP(C449,Merchants!$A$2:$D$41,2,FALSE),"Merchant not found")</f>
        <v/>
      </c>
      <c r="J449">
        <f>IFERROR(VLOOKUP(C449,Merchants!$A$2:$D$41,3,FALSE),"Merchant not found")</f>
        <v/>
      </c>
      <c r="K449">
        <f>IFERROR(VLOOKUP(C449,Merchants!$A$2:$D$41,4,FALSE),"Merchant not found")</f>
        <v/>
      </c>
      <c r="L449" s="4">
        <f>HLOOKUP(F449,Fee_Tiers!$B$2:$E$3,2,FALSE)</f>
        <v/>
      </c>
      <c r="M449">
        <f>E449*L449</f>
        <v/>
      </c>
      <c r="N449" s="5" t="n">
        <v>46046</v>
      </c>
      <c r="O449">
        <f>C449&amp;"_"&amp;TEXT(N449,"yyyy-mm-dd")</f>
        <v/>
      </c>
      <c r="P449">
        <f>IFERROR(VLOOKUP(O449,Merchant_Day_Analysis!$A$5:$G$447,7,FALSE),"Not found")</f>
        <v/>
      </c>
    </row>
    <row r="450">
      <c r="A450" t="inlineStr">
        <is>
          <t>TXN100448</t>
        </is>
      </c>
      <c r="B450" t="n">
        <v>204</v>
      </c>
      <c r="C450" t="n">
        <v>16</v>
      </c>
      <c r="D450" s="6" t="n">
        <v>46042.92569444444</v>
      </c>
      <c r="E450" t="n">
        <v>149</v>
      </c>
      <c r="F450" t="inlineStr">
        <is>
          <t>UPI</t>
        </is>
      </c>
      <c r="G450" t="inlineStr">
        <is>
          <t>captured</t>
        </is>
      </c>
      <c r="H450" t="n">
        <v>70</v>
      </c>
      <c r="I450">
        <f>IFERROR(VLOOKUP(C450,Merchants!$A$2:$D$41,2,FALSE),"Merchant not found")</f>
        <v/>
      </c>
      <c r="J450">
        <f>IFERROR(VLOOKUP(C450,Merchants!$A$2:$D$41,3,FALSE),"Merchant not found")</f>
        <v/>
      </c>
      <c r="K450">
        <f>IFERROR(VLOOKUP(C450,Merchants!$A$2:$D$41,4,FALSE),"Merchant not found")</f>
        <v/>
      </c>
      <c r="L450" s="4">
        <f>HLOOKUP(F450,Fee_Tiers!$B$2:$E$3,2,FALSE)</f>
        <v/>
      </c>
      <c r="M450">
        <f>E450*L450</f>
        <v/>
      </c>
      <c r="N450" s="5" t="n">
        <v>46042</v>
      </c>
      <c r="O450">
        <f>C450&amp;"_"&amp;TEXT(N450,"yyyy-mm-dd")</f>
        <v/>
      </c>
      <c r="P450">
        <f>IFERROR(VLOOKUP(O450,Merchant_Day_Analysis!$A$5:$G$447,7,FALSE),"Not found")</f>
        <v/>
      </c>
    </row>
    <row r="451">
      <c r="A451" t="inlineStr">
        <is>
          <t>TXN100449</t>
        </is>
      </c>
      <c r="B451" t="n">
        <v>239</v>
      </c>
      <c r="C451" t="n">
        <v>35</v>
      </c>
      <c r="D451" s="6" t="n">
        <v>46033.39166666667</v>
      </c>
      <c r="E451" t="n">
        <v>4999</v>
      </c>
      <c r="F451" t="inlineStr">
        <is>
          <t>UPI</t>
        </is>
      </c>
      <c r="G451" t="inlineStr">
        <is>
          <t>captured</t>
        </is>
      </c>
      <c r="H451" t="n">
        <v>83</v>
      </c>
      <c r="I451">
        <f>IFERROR(VLOOKUP(C451,Merchants!$A$2:$D$41,2,FALSE),"Merchant not found")</f>
        <v/>
      </c>
      <c r="J451">
        <f>IFERROR(VLOOKUP(C451,Merchants!$A$2:$D$41,3,FALSE),"Merchant not found")</f>
        <v/>
      </c>
      <c r="K451">
        <f>IFERROR(VLOOKUP(C451,Merchants!$A$2:$D$41,4,FALSE),"Merchant not found")</f>
        <v/>
      </c>
      <c r="L451" s="4">
        <f>HLOOKUP(F451,Fee_Tiers!$B$2:$E$3,2,FALSE)</f>
        <v/>
      </c>
      <c r="M451">
        <f>E451*L451</f>
        <v/>
      </c>
      <c r="N451" s="5" t="n">
        <v>46033</v>
      </c>
      <c r="O451">
        <f>C451&amp;"_"&amp;TEXT(N451,"yyyy-mm-dd")</f>
        <v/>
      </c>
      <c r="P451">
        <f>IFERROR(VLOOKUP(O451,Merchant_Day_Analysis!$A$5:$G$447,7,FALSE),"Not found")</f>
        <v/>
      </c>
    </row>
    <row r="452">
      <c r="A452" t="inlineStr">
        <is>
          <t>TXN100450</t>
        </is>
      </c>
      <c r="B452" t="n">
        <v>185</v>
      </c>
      <c r="C452" t="n">
        <v>33</v>
      </c>
      <c r="D452" s="6" t="n">
        <v>46034.38611111111</v>
      </c>
      <c r="E452" t="n">
        <v>299</v>
      </c>
      <c r="F452" t="inlineStr">
        <is>
          <t>UPI</t>
        </is>
      </c>
      <c r="G452" t="inlineStr">
        <is>
          <t>captured</t>
        </is>
      </c>
      <c r="H452" t="n">
        <v>63</v>
      </c>
      <c r="I452">
        <f>IFERROR(VLOOKUP(C452,Merchants!$A$2:$D$41,2,FALSE),"Merchant not found")</f>
        <v/>
      </c>
      <c r="J452">
        <f>IFERROR(VLOOKUP(C452,Merchants!$A$2:$D$41,3,FALSE),"Merchant not found")</f>
        <v/>
      </c>
      <c r="K452">
        <f>IFERROR(VLOOKUP(C452,Merchants!$A$2:$D$41,4,FALSE),"Merchant not found")</f>
        <v/>
      </c>
      <c r="L452" s="4">
        <f>HLOOKUP(F452,Fee_Tiers!$B$2:$E$3,2,FALSE)</f>
        <v/>
      </c>
      <c r="M452">
        <f>E452*L452</f>
        <v/>
      </c>
      <c r="N452" s="5" t="n">
        <v>46034</v>
      </c>
      <c r="O452">
        <f>C452&amp;"_"&amp;TEXT(N452,"yyyy-mm-dd")</f>
        <v/>
      </c>
      <c r="P452">
        <f>IFERROR(VLOOKUP(O452,Merchant_Day_Analysis!$A$5:$G$447,7,FALSE),"Not found")</f>
        <v/>
      </c>
    </row>
    <row r="453">
      <c r="A453" t="inlineStr">
        <is>
          <t>TXN100451</t>
        </is>
      </c>
      <c r="B453" t="n">
        <v>241</v>
      </c>
      <c r="C453" t="n">
        <v>21</v>
      </c>
      <c r="D453" s="6" t="n">
        <v>46037.16041666667</v>
      </c>
      <c r="E453" t="n">
        <v>299</v>
      </c>
      <c r="F453" t="inlineStr">
        <is>
          <t>Card</t>
        </is>
      </c>
      <c r="G453" t="inlineStr">
        <is>
          <t>captured</t>
        </is>
      </c>
      <c r="H453" t="n">
        <v>26</v>
      </c>
      <c r="I453">
        <f>IFERROR(VLOOKUP(C453,Merchants!$A$2:$D$41,2,FALSE),"Merchant not found")</f>
        <v/>
      </c>
      <c r="J453">
        <f>IFERROR(VLOOKUP(C453,Merchants!$A$2:$D$41,3,FALSE),"Merchant not found")</f>
        <v/>
      </c>
      <c r="K453">
        <f>IFERROR(VLOOKUP(C453,Merchants!$A$2:$D$41,4,FALSE),"Merchant not found")</f>
        <v/>
      </c>
      <c r="L453" s="4">
        <f>HLOOKUP(F453,Fee_Tiers!$B$2:$E$3,2,FALSE)</f>
        <v/>
      </c>
      <c r="M453">
        <f>E453*L453</f>
        <v/>
      </c>
      <c r="N453" s="5" t="n">
        <v>46037</v>
      </c>
      <c r="O453">
        <f>C453&amp;"_"&amp;TEXT(N453,"yyyy-mm-dd")</f>
        <v/>
      </c>
      <c r="P453">
        <f>IFERROR(VLOOKUP(O453,Merchant_Day_Analysis!$A$5:$G$447,7,FALSE),"Not found")</f>
        <v/>
      </c>
    </row>
    <row r="454">
      <c r="A454" t="inlineStr">
        <is>
          <t>TXN100452</t>
        </is>
      </c>
      <c r="B454" t="n">
        <v>24</v>
      </c>
      <c r="C454" t="n">
        <v>37</v>
      </c>
      <c r="D454" s="6" t="n">
        <v>46034.43472222222</v>
      </c>
      <c r="E454" t="n">
        <v>149</v>
      </c>
      <c r="F454" t="inlineStr">
        <is>
          <t>UPI</t>
        </is>
      </c>
      <c r="G454" t="inlineStr">
        <is>
          <t>captured</t>
        </is>
      </c>
      <c r="H454" t="n">
        <v>28</v>
      </c>
      <c r="I454">
        <f>IFERROR(VLOOKUP(C454,Merchants!$A$2:$D$41,2,FALSE),"Merchant not found")</f>
        <v/>
      </c>
      <c r="J454">
        <f>IFERROR(VLOOKUP(C454,Merchants!$A$2:$D$41,3,FALSE),"Merchant not found")</f>
        <v/>
      </c>
      <c r="K454">
        <f>IFERROR(VLOOKUP(C454,Merchants!$A$2:$D$41,4,FALSE),"Merchant not found")</f>
        <v/>
      </c>
      <c r="L454" s="4">
        <f>HLOOKUP(F454,Fee_Tiers!$B$2:$E$3,2,FALSE)</f>
        <v/>
      </c>
      <c r="M454">
        <f>E454*L454</f>
        <v/>
      </c>
      <c r="N454" s="5" t="n">
        <v>46034</v>
      </c>
      <c r="O454">
        <f>C454&amp;"_"&amp;TEXT(N454,"yyyy-mm-dd")</f>
        <v/>
      </c>
      <c r="P454">
        <f>IFERROR(VLOOKUP(O454,Merchant_Day_Analysis!$A$5:$G$447,7,FALSE),"Not found")</f>
        <v/>
      </c>
    </row>
    <row r="455">
      <c r="A455" t="inlineStr">
        <is>
          <t>TXN100453</t>
        </is>
      </c>
      <c r="B455" t="n">
        <v>134</v>
      </c>
      <c r="C455" t="n">
        <v>36</v>
      </c>
      <c r="D455" s="6" t="n">
        <v>46046.16736111111</v>
      </c>
      <c r="E455" t="n">
        <v>1499</v>
      </c>
      <c r="F455" t="inlineStr">
        <is>
          <t>UPI</t>
        </is>
      </c>
      <c r="G455" t="inlineStr">
        <is>
          <t>captured</t>
        </is>
      </c>
      <c r="H455" t="n">
        <v>74</v>
      </c>
      <c r="I455">
        <f>IFERROR(VLOOKUP(C455,Merchants!$A$2:$D$41,2,FALSE),"Merchant not found")</f>
        <v/>
      </c>
      <c r="J455">
        <f>IFERROR(VLOOKUP(C455,Merchants!$A$2:$D$41,3,FALSE),"Merchant not found")</f>
        <v/>
      </c>
      <c r="K455">
        <f>IFERROR(VLOOKUP(C455,Merchants!$A$2:$D$41,4,FALSE),"Merchant not found")</f>
        <v/>
      </c>
      <c r="L455" s="4">
        <f>HLOOKUP(F455,Fee_Tiers!$B$2:$E$3,2,FALSE)</f>
        <v/>
      </c>
      <c r="M455">
        <f>E455*L455</f>
        <v/>
      </c>
      <c r="N455" s="5" t="n">
        <v>46046</v>
      </c>
      <c r="O455">
        <f>C455&amp;"_"&amp;TEXT(N455,"yyyy-mm-dd")</f>
        <v/>
      </c>
      <c r="P455">
        <f>IFERROR(VLOOKUP(O455,Merchant_Day_Analysis!$A$5:$G$447,7,FALSE),"Not found")</f>
        <v/>
      </c>
    </row>
    <row r="456">
      <c r="A456" t="inlineStr">
        <is>
          <t>TXN100454</t>
        </is>
      </c>
      <c r="B456" t="n">
        <v>152</v>
      </c>
      <c r="C456" t="n">
        <v>10</v>
      </c>
      <c r="D456" s="6" t="n">
        <v>46041.97638888889</v>
      </c>
      <c r="E456" t="n">
        <v>499</v>
      </c>
      <c r="F456" t="inlineStr">
        <is>
          <t>Wallet</t>
        </is>
      </c>
      <c r="G456" t="inlineStr">
        <is>
          <t>captured</t>
        </is>
      </c>
      <c r="H456" t="n">
        <v>25</v>
      </c>
      <c r="I456">
        <f>IFERROR(VLOOKUP(C456,Merchants!$A$2:$D$41,2,FALSE),"Merchant not found")</f>
        <v/>
      </c>
      <c r="J456">
        <f>IFERROR(VLOOKUP(C456,Merchants!$A$2:$D$41,3,FALSE),"Merchant not found")</f>
        <v/>
      </c>
      <c r="K456">
        <f>IFERROR(VLOOKUP(C456,Merchants!$A$2:$D$41,4,FALSE),"Merchant not found")</f>
        <v/>
      </c>
      <c r="L456" s="4">
        <f>HLOOKUP(F456,Fee_Tiers!$B$2:$E$3,2,FALSE)</f>
        <v/>
      </c>
      <c r="M456">
        <f>E456*L456</f>
        <v/>
      </c>
      <c r="N456" s="5" t="n">
        <v>46041</v>
      </c>
      <c r="O456">
        <f>C456&amp;"_"&amp;TEXT(N456,"yyyy-mm-dd")</f>
        <v/>
      </c>
      <c r="P456">
        <f>IFERROR(VLOOKUP(O456,Merchant_Day_Analysis!$A$5:$G$447,7,FALSE),"Not found")</f>
        <v/>
      </c>
    </row>
    <row r="457">
      <c r="A457" t="inlineStr">
        <is>
          <t>TXN100455</t>
        </is>
      </c>
      <c r="B457" t="n">
        <v>292</v>
      </c>
      <c r="C457" t="n">
        <v>16</v>
      </c>
      <c r="D457" s="6" t="n">
        <v>46033.30833333333</v>
      </c>
      <c r="E457" t="n">
        <v>499</v>
      </c>
      <c r="F457" t="inlineStr">
        <is>
          <t>Netbanking</t>
        </is>
      </c>
      <c r="G457" t="inlineStr">
        <is>
          <t>captured</t>
        </is>
      </c>
      <c r="H457" t="n">
        <v>63</v>
      </c>
      <c r="I457">
        <f>IFERROR(VLOOKUP(C457,Merchants!$A$2:$D$41,2,FALSE),"Merchant not found")</f>
        <v/>
      </c>
      <c r="J457">
        <f>IFERROR(VLOOKUP(C457,Merchants!$A$2:$D$41,3,FALSE),"Merchant not found")</f>
        <v/>
      </c>
      <c r="K457">
        <f>IFERROR(VLOOKUP(C457,Merchants!$A$2:$D$41,4,FALSE),"Merchant not found")</f>
        <v/>
      </c>
      <c r="L457" s="4">
        <f>HLOOKUP(F457,Fee_Tiers!$B$2:$E$3,2,FALSE)</f>
        <v/>
      </c>
      <c r="M457">
        <f>E457*L457</f>
        <v/>
      </c>
      <c r="N457" s="5" t="n">
        <v>46033</v>
      </c>
      <c r="O457">
        <f>C457&amp;"_"&amp;TEXT(N457,"yyyy-mm-dd")</f>
        <v/>
      </c>
      <c r="P457">
        <f>IFERROR(VLOOKUP(O457,Merchant_Day_Analysis!$A$5:$G$447,7,FALSE),"Not found")</f>
        <v/>
      </c>
    </row>
    <row r="458">
      <c r="A458" t="inlineStr">
        <is>
          <t>TXN100456</t>
        </is>
      </c>
      <c r="B458" t="n">
        <v>173</v>
      </c>
      <c r="C458" t="n">
        <v>17</v>
      </c>
      <c r="D458" s="6" t="n">
        <v>46040.86319444444</v>
      </c>
      <c r="E458" t="n">
        <v>99</v>
      </c>
      <c r="F458" t="inlineStr">
        <is>
          <t>Netbanking</t>
        </is>
      </c>
      <c r="G458" t="inlineStr">
        <is>
          <t>captured</t>
        </is>
      </c>
      <c r="H458" t="n">
        <v>97</v>
      </c>
      <c r="I458">
        <f>IFERROR(VLOOKUP(C458,Merchants!$A$2:$D$41,2,FALSE),"Merchant not found")</f>
        <v/>
      </c>
      <c r="J458">
        <f>IFERROR(VLOOKUP(C458,Merchants!$A$2:$D$41,3,FALSE),"Merchant not found")</f>
        <v/>
      </c>
      <c r="K458">
        <f>IFERROR(VLOOKUP(C458,Merchants!$A$2:$D$41,4,FALSE),"Merchant not found")</f>
        <v/>
      </c>
      <c r="L458" s="4">
        <f>HLOOKUP(F458,Fee_Tiers!$B$2:$E$3,2,FALSE)</f>
        <v/>
      </c>
      <c r="M458">
        <f>E458*L458</f>
        <v/>
      </c>
      <c r="N458" s="5" t="n">
        <v>46040</v>
      </c>
      <c r="O458">
        <f>C458&amp;"_"&amp;TEXT(N458,"yyyy-mm-dd")</f>
        <v/>
      </c>
      <c r="P458">
        <f>IFERROR(VLOOKUP(O458,Merchant_Day_Analysis!$A$5:$G$447,7,FALSE),"Not found")</f>
        <v/>
      </c>
    </row>
    <row r="459">
      <c r="A459" t="inlineStr">
        <is>
          <t>TXN100457</t>
        </is>
      </c>
      <c r="B459" t="n">
        <v>329</v>
      </c>
      <c r="C459" t="n">
        <v>32</v>
      </c>
      <c r="D459" s="6" t="n">
        <v>46049.65694444445</v>
      </c>
      <c r="E459" t="n">
        <v>1499</v>
      </c>
      <c r="F459" t="inlineStr">
        <is>
          <t>UPI</t>
        </is>
      </c>
      <c r="G459" t="inlineStr">
        <is>
          <t>captured</t>
        </is>
      </c>
      <c r="H459" t="n">
        <v>58</v>
      </c>
      <c r="I459">
        <f>IFERROR(VLOOKUP(C459,Merchants!$A$2:$D$41,2,FALSE),"Merchant not found")</f>
        <v/>
      </c>
      <c r="J459">
        <f>IFERROR(VLOOKUP(C459,Merchants!$A$2:$D$41,3,FALSE),"Merchant not found")</f>
        <v/>
      </c>
      <c r="K459">
        <f>IFERROR(VLOOKUP(C459,Merchants!$A$2:$D$41,4,FALSE),"Merchant not found")</f>
        <v/>
      </c>
      <c r="L459" s="4">
        <f>HLOOKUP(F459,Fee_Tiers!$B$2:$E$3,2,FALSE)</f>
        <v/>
      </c>
      <c r="M459">
        <f>E459*L459</f>
        <v/>
      </c>
      <c r="N459" s="5" t="n">
        <v>46049</v>
      </c>
      <c r="O459">
        <f>C459&amp;"_"&amp;TEXT(N459,"yyyy-mm-dd")</f>
        <v/>
      </c>
      <c r="P459">
        <f>IFERROR(VLOOKUP(O459,Merchant_Day_Analysis!$A$5:$G$447,7,FALSE),"Not found")</f>
        <v/>
      </c>
    </row>
    <row r="460">
      <c r="A460" t="inlineStr">
        <is>
          <t>TXN100458</t>
        </is>
      </c>
      <c r="B460" t="n">
        <v>181</v>
      </c>
      <c r="C460" t="n">
        <v>11</v>
      </c>
      <c r="D460" s="6" t="n">
        <v>46028.99305555555</v>
      </c>
      <c r="E460" t="n">
        <v>1499</v>
      </c>
      <c r="F460" t="inlineStr">
        <is>
          <t>UPI</t>
        </is>
      </c>
      <c r="G460" t="inlineStr">
        <is>
          <t>captured</t>
        </is>
      </c>
      <c r="H460" t="n">
        <v>17</v>
      </c>
      <c r="I460">
        <f>IFERROR(VLOOKUP(C460,Merchants!$A$2:$D$41,2,FALSE),"Merchant not found")</f>
        <v/>
      </c>
      <c r="J460">
        <f>IFERROR(VLOOKUP(C460,Merchants!$A$2:$D$41,3,FALSE),"Merchant not found")</f>
        <v/>
      </c>
      <c r="K460">
        <f>IFERROR(VLOOKUP(C460,Merchants!$A$2:$D$41,4,FALSE),"Merchant not found")</f>
        <v/>
      </c>
      <c r="L460" s="4">
        <f>HLOOKUP(F460,Fee_Tiers!$B$2:$E$3,2,FALSE)</f>
        <v/>
      </c>
      <c r="M460">
        <f>E460*L460</f>
        <v/>
      </c>
      <c r="N460" s="5" t="n">
        <v>46028</v>
      </c>
      <c r="O460">
        <f>C460&amp;"_"&amp;TEXT(N460,"yyyy-mm-dd")</f>
        <v/>
      </c>
      <c r="P460">
        <f>IFERROR(VLOOKUP(O460,Merchant_Day_Analysis!$A$5:$G$447,7,FALSE),"Not found")</f>
        <v/>
      </c>
    </row>
    <row r="461">
      <c r="A461" t="inlineStr">
        <is>
          <t>TXN100459</t>
        </is>
      </c>
      <c r="B461" t="n">
        <v>95</v>
      </c>
      <c r="C461" t="n">
        <v>35</v>
      </c>
      <c r="D461" s="6" t="n">
        <v>46046.72986111111</v>
      </c>
      <c r="E461" t="n">
        <v>149</v>
      </c>
      <c r="F461" t="inlineStr">
        <is>
          <t>Wallet</t>
        </is>
      </c>
      <c r="G461" t="inlineStr">
        <is>
          <t>captured</t>
        </is>
      </c>
      <c r="H461" t="n">
        <v>82</v>
      </c>
      <c r="I461">
        <f>IFERROR(VLOOKUP(C461,Merchants!$A$2:$D$41,2,FALSE),"Merchant not found")</f>
        <v/>
      </c>
      <c r="J461">
        <f>IFERROR(VLOOKUP(C461,Merchants!$A$2:$D$41,3,FALSE),"Merchant not found")</f>
        <v/>
      </c>
      <c r="K461">
        <f>IFERROR(VLOOKUP(C461,Merchants!$A$2:$D$41,4,FALSE),"Merchant not found")</f>
        <v/>
      </c>
      <c r="L461" s="4">
        <f>HLOOKUP(F461,Fee_Tiers!$B$2:$E$3,2,FALSE)</f>
        <v/>
      </c>
      <c r="M461">
        <f>E461*L461</f>
        <v/>
      </c>
      <c r="N461" s="5" t="n">
        <v>46046</v>
      </c>
      <c r="O461">
        <f>C461&amp;"_"&amp;TEXT(N461,"yyyy-mm-dd")</f>
        <v/>
      </c>
      <c r="P461">
        <f>IFERROR(VLOOKUP(O461,Merchant_Day_Analysis!$A$5:$G$447,7,FALSE),"Not found")</f>
        <v/>
      </c>
    </row>
    <row r="462">
      <c r="A462" t="inlineStr">
        <is>
          <t>TXN100460</t>
        </is>
      </c>
      <c r="B462" t="n">
        <v>39</v>
      </c>
      <c r="C462" t="n">
        <v>4</v>
      </c>
      <c r="D462" s="6" t="n">
        <v>46024.66805555556</v>
      </c>
      <c r="E462" t="n">
        <v>149</v>
      </c>
      <c r="F462" t="inlineStr">
        <is>
          <t>Netbanking</t>
        </is>
      </c>
      <c r="G462" t="inlineStr">
        <is>
          <t>captured</t>
        </is>
      </c>
      <c r="H462" t="n">
        <v>97</v>
      </c>
      <c r="I462">
        <f>IFERROR(VLOOKUP(C462,Merchants!$A$2:$D$41,2,FALSE),"Merchant not found")</f>
        <v/>
      </c>
      <c r="J462">
        <f>IFERROR(VLOOKUP(C462,Merchants!$A$2:$D$41,3,FALSE),"Merchant not found")</f>
        <v/>
      </c>
      <c r="K462">
        <f>IFERROR(VLOOKUP(C462,Merchants!$A$2:$D$41,4,FALSE),"Merchant not found")</f>
        <v/>
      </c>
      <c r="L462" s="4">
        <f>HLOOKUP(F462,Fee_Tiers!$B$2:$E$3,2,FALSE)</f>
        <v/>
      </c>
      <c r="M462">
        <f>E462*L462</f>
        <v/>
      </c>
      <c r="N462" s="5" t="n">
        <v>46024</v>
      </c>
      <c r="O462">
        <f>C462&amp;"_"&amp;TEXT(N462,"yyyy-mm-dd")</f>
        <v/>
      </c>
      <c r="P462">
        <f>IFERROR(VLOOKUP(O462,Merchant_Day_Analysis!$A$5:$G$447,7,FALSE),"Not found")</f>
        <v/>
      </c>
    </row>
    <row r="463">
      <c r="A463" t="inlineStr">
        <is>
          <t>TXN100461</t>
        </is>
      </c>
      <c r="B463" t="n">
        <v>323</v>
      </c>
      <c r="C463" t="n">
        <v>15</v>
      </c>
      <c r="D463" s="6" t="n">
        <v>46023.54722222222</v>
      </c>
      <c r="E463" t="n">
        <v>499</v>
      </c>
      <c r="F463" t="inlineStr">
        <is>
          <t>UPI</t>
        </is>
      </c>
      <c r="G463" t="inlineStr">
        <is>
          <t>captured</t>
        </is>
      </c>
      <c r="H463" t="n">
        <v>8</v>
      </c>
      <c r="I463">
        <f>IFERROR(VLOOKUP(C463,Merchants!$A$2:$D$41,2,FALSE),"Merchant not found")</f>
        <v/>
      </c>
      <c r="J463">
        <f>IFERROR(VLOOKUP(C463,Merchants!$A$2:$D$41,3,FALSE),"Merchant not found")</f>
        <v/>
      </c>
      <c r="K463">
        <f>IFERROR(VLOOKUP(C463,Merchants!$A$2:$D$41,4,FALSE),"Merchant not found")</f>
        <v/>
      </c>
      <c r="L463" s="4">
        <f>HLOOKUP(F463,Fee_Tiers!$B$2:$E$3,2,FALSE)</f>
        <v/>
      </c>
      <c r="M463">
        <f>E463*L463</f>
        <v/>
      </c>
      <c r="N463" s="5" t="n">
        <v>46023</v>
      </c>
      <c r="O463">
        <f>C463&amp;"_"&amp;TEXT(N463,"yyyy-mm-dd")</f>
        <v/>
      </c>
      <c r="P463">
        <f>IFERROR(VLOOKUP(O463,Merchant_Day_Analysis!$A$5:$G$447,7,FALSE),"Not found")</f>
        <v/>
      </c>
    </row>
    <row r="464">
      <c r="A464" t="inlineStr">
        <is>
          <t>TXN100462</t>
        </is>
      </c>
      <c r="B464" t="n">
        <v>112</v>
      </c>
      <c r="C464" t="n">
        <v>33</v>
      </c>
      <c r="D464" s="6" t="n">
        <v>46045.16666666666</v>
      </c>
      <c r="E464" t="n">
        <v>49</v>
      </c>
      <c r="F464" t="inlineStr">
        <is>
          <t>Netbanking</t>
        </is>
      </c>
      <c r="G464" t="inlineStr">
        <is>
          <t>captured</t>
        </is>
      </c>
      <c r="H464" t="n">
        <v>58</v>
      </c>
      <c r="I464">
        <f>IFERROR(VLOOKUP(C464,Merchants!$A$2:$D$41,2,FALSE),"Merchant not found")</f>
        <v/>
      </c>
      <c r="J464">
        <f>IFERROR(VLOOKUP(C464,Merchants!$A$2:$D$41,3,FALSE),"Merchant not found")</f>
        <v/>
      </c>
      <c r="K464">
        <f>IFERROR(VLOOKUP(C464,Merchants!$A$2:$D$41,4,FALSE),"Merchant not found")</f>
        <v/>
      </c>
      <c r="L464" s="4">
        <f>HLOOKUP(F464,Fee_Tiers!$B$2:$E$3,2,FALSE)</f>
        <v/>
      </c>
      <c r="M464">
        <f>E464*L464</f>
        <v/>
      </c>
      <c r="N464" s="5" t="n">
        <v>46045</v>
      </c>
      <c r="O464">
        <f>C464&amp;"_"&amp;TEXT(N464,"yyyy-mm-dd")</f>
        <v/>
      </c>
      <c r="P464">
        <f>IFERROR(VLOOKUP(O464,Merchant_Day_Analysis!$A$5:$G$447,7,FALSE),"Not found")</f>
        <v/>
      </c>
    </row>
    <row r="465">
      <c r="A465" t="inlineStr">
        <is>
          <t>TXN100463</t>
        </is>
      </c>
      <c r="B465" t="n">
        <v>327</v>
      </c>
      <c r="C465" t="n">
        <v>40</v>
      </c>
      <c r="D465" s="6" t="n">
        <v>46034.06875</v>
      </c>
      <c r="E465" t="n">
        <v>99</v>
      </c>
      <c r="F465" t="inlineStr">
        <is>
          <t>UPI</t>
        </is>
      </c>
      <c r="G465" t="inlineStr">
        <is>
          <t>captured</t>
        </is>
      </c>
      <c r="H465" t="n">
        <v>61</v>
      </c>
      <c r="I465">
        <f>IFERROR(VLOOKUP(C465,Merchants!$A$2:$D$41,2,FALSE),"Merchant not found")</f>
        <v/>
      </c>
      <c r="J465">
        <f>IFERROR(VLOOKUP(C465,Merchants!$A$2:$D$41,3,FALSE),"Merchant not found")</f>
        <v/>
      </c>
      <c r="K465">
        <f>IFERROR(VLOOKUP(C465,Merchants!$A$2:$D$41,4,FALSE),"Merchant not found")</f>
        <v/>
      </c>
      <c r="L465" s="4">
        <f>HLOOKUP(F465,Fee_Tiers!$B$2:$E$3,2,FALSE)</f>
        <v/>
      </c>
      <c r="M465">
        <f>E465*L465</f>
        <v/>
      </c>
      <c r="N465" s="5" t="n">
        <v>46034</v>
      </c>
      <c r="O465">
        <f>C465&amp;"_"&amp;TEXT(N465,"yyyy-mm-dd")</f>
        <v/>
      </c>
      <c r="P465">
        <f>IFERROR(VLOOKUP(O465,Merchant_Day_Analysis!$A$5:$G$447,7,FALSE),"Not found")</f>
        <v/>
      </c>
    </row>
    <row r="466">
      <c r="A466" t="inlineStr">
        <is>
          <t>TXN100464</t>
        </is>
      </c>
      <c r="B466" t="n">
        <v>4</v>
      </c>
      <c r="C466" t="n">
        <v>35</v>
      </c>
      <c r="D466" s="6" t="n">
        <v>46044.62569444445</v>
      </c>
      <c r="E466" t="n">
        <v>299</v>
      </c>
      <c r="F466" t="inlineStr">
        <is>
          <t>UPI</t>
        </is>
      </c>
      <c r="G466" t="inlineStr">
        <is>
          <t>captured</t>
        </is>
      </c>
      <c r="H466" t="n">
        <v>70</v>
      </c>
      <c r="I466">
        <f>IFERROR(VLOOKUP(C466,Merchants!$A$2:$D$41,2,FALSE),"Merchant not found")</f>
        <v/>
      </c>
      <c r="J466">
        <f>IFERROR(VLOOKUP(C466,Merchants!$A$2:$D$41,3,FALSE),"Merchant not found")</f>
        <v/>
      </c>
      <c r="K466">
        <f>IFERROR(VLOOKUP(C466,Merchants!$A$2:$D$41,4,FALSE),"Merchant not found")</f>
        <v/>
      </c>
      <c r="L466" s="4">
        <f>HLOOKUP(F466,Fee_Tiers!$B$2:$E$3,2,FALSE)</f>
        <v/>
      </c>
      <c r="M466">
        <f>E466*L466</f>
        <v/>
      </c>
      <c r="N466" s="5" t="n">
        <v>46044</v>
      </c>
      <c r="O466">
        <f>C466&amp;"_"&amp;TEXT(N466,"yyyy-mm-dd")</f>
        <v/>
      </c>
      <c r="P466">
        <f>IFERROR(VLOOKUP(O466,Merchant_Day_Analysis!$A$5:$G$447,7,FALSE),"Not found")</f>
        <v/>
      </c>
    </row>
    <row r="467">
      <c r="A467" t="inlineStr">
        <is>
          <t>TXN100465</t>
        </is>
      </c>
      <c r="B467" t="n">
        <v>272</v>
      </c>
      <c r="C467" t="n">
        <v>18</v>
      </c>
      <c r="D467" s="6" t="n">
        <v>46036.00069444445</v>
      </c>
      <c r="E467" t="n">
        <v>149</v>
      </c>
      <c r="F467" t="inlineStr">
        <is>
          <t>UPI</t>
        </is>
      </c>
      <c r="G467" t="inlineStr">
        <is>
          <t>captured</t>
        </is>
      </c>
      <c r="H467" t="n">
        <v>68</v>
      </c>
      <c r="I467">
        <f>IFERROR(VLOOKUP(C467,Merchants!$A$2:$D$41,2,FALSE),"Merchant not found")</f>
        <v/>
      </c>
      <c r="J467">
        <f>IFERROR(VLOOKUP(C467,Merchants!$A$2:$D$41,3,FALSE),"Merchant not found")</f>
        <v/>
      </c>
      <c r="K467">
        <f>IFERROR(VLOOKUP(C467,Merchants!$A$2:$D$41,4,FALSE),"Merchant not found")</f>
        <v/>
      </c>
      <c r="L467" s="4">
        <f>HLOOKUP(F467,Fee_Tiers!$B$2:$E$3,2,FALSE)</f>
        <v/>
      </c>
      <c r="M467">
        <f>E467*L467</f>
        <v/>
      </c>
      <c r="N467" s="5" t="n">
        <v>46036</v>
      </c>
      <c r="O467">
        <f>C467&amp;"_"&amp;TEXT(N467,"yyyy-mm-dd")</f>
        <v/>
      </c>
      <c r="P467">
        <f>IFERROR(VLOOKUP(O467,Merchant_Day_Analysis!$A$5:$G$447,7,FALSE),"Not found")</f>
        <v/>
      </c>
    </row>
    <row r="468">
      <c r="A468" t="inlineStr">
        <is>
          <t>TXN100466</t>
        </is>
      </c>
      <c r="B468" t="n">
        <v>346</v>
      </c>
      <c r="C468" t="n">
        <v>28</v>
      </c>
      <c r="D468" s="6" t="n">
        <v>46032.02222222222</v>
      </c>
      <c r="E468" t="n">
        <v>499</v>
      </c>
      <c r="F468" t="inlineStr">
        <is>
          <t>UPI</t>
        </is>
      </c>
      <c r="G468" t="inlineStr">
        <is>
          <t>captured</t>
        </is>
      </c>
      <c r="H468" t="n">
        <v>22</v>
      </c>
      <c r="I468">
        <f>IFERROR(VLOOKUP(C468,Merchants!$A$2:$D$41,2,FALSE),"Merchant not found")</f>
        <v/>
      </c>
      <c r="J468">
        <f>IFERROR(VLOOKUP(C468,Merchants!$A$2:$D$41,3,FALSE),"Merchant not found")</f>
        <v/>
      </c>
      <c r="K468">
        <f>IFERROR(VLOOKUP(C468,Merchants!$A$2:$D$41,4,FALSE),"Merchant not found")</f>
        <v/>
      </c>
      <c r="L468" s="4">
        <f>HLOOKUP(F468,Fee_Tiers!$B$2:$E$3,2,FALSE)</f>
        <v/>
      </c>
      <c r="M468">
        <f>E468*L468</f>
        <v/>
      </c>
      <c r="N468" s="5" t="n">
        <v>46032</v>
      </c>
      <c r="O468">
        <f>C468&amp;"_"&amp;TEXT(N468,"yyyy-mm-dd")</f>
        <v/>
      </c>
      <c r="P468">
        <f>IFERROR(VLOOKUP(O468,Merchant_Day_Analysis!$A$5:$G$447,7,FALSE),"Not found")</f>
        <v/>
      </c>
    </row>
    <row r="469">
      <c r="A469" t="inlineStr">
        <is>
          <t>TXN100467</t>
        </is>
      </c>
      <c r="B469" t="n">
        <v>77</v>
      </c>
      <c r="C469" t="n">
        <v>16</v>
      </c>
      <c r="D469" s="6" t="n">
        <v>46026.14791666667</v>
      </c>
      <c r="E469" t="n">
        <v>49</v>
      </c>
      <c r="F469" t="inlineStr">
        <is>
          <t>Wallet</t>
        </is>
      </c>
      <c r="G469" t="inlineStr">
        <is>
          <t>captured</t>
        </is>
      </c>
      <c r="H469" t="n">
        <v>24</v>
      </c>
      <c r="I469">
        <f>IFERROR(VLOOKUP(C469,Merchants!$A$2:$D$41,2,FALSE),"Merchant not found")</f>
        <v/>
      </c>
      <c r="J469">
        <f>IFERROR(VLOOKUP(C469,Merchants!$A$2:$D$41,3,FALSE),"Merchant not found")</f>
        <v/>
      </c>
      <c r="K469">
        <f>IFERROR(VLOOKUP(C469,Merchants!$A$2:$D$41,4,FALSE),"Merchant not found")</f>
        <v/>
      </c>
      <c r="L469" s="4">
        <f>HLOOKUP(F469,Fee_Tiers!$B$2:$E$3,2,FALSE)</f>
        <v/>
      </c>
      <c r="M469">
        <f>E469*L469</f>
        <v/>
      </c>
      <c r="N469" s="5" t="n">
        <v>46026</v>
      </c>
      <c r="O469">
        <f>C469&amp;"_"&amp;TEXT(N469,"yyyy-mm-dd")</f>
        <v/>
      </c>
      <c r="P469">
        <f>IFERROR(VLOOKUP(O469,Merchant_Day_Analysis!$A$5:$G$447,7,FALSE),"Not found")</f>
        <v/>
      </c>
    </row>
    <row r="470">
      <c r="A470" t="inlineStr">
        <is>
          <t>TXN100468</t>
        </is>
      </c>
      <c r="B470" t="n">
        <v>182</v>
      </c>
      <c r="C470" t="n">
        <v>18</v>
      </c>
      <c r="D470" s="6" t="n">
        <v>46042.67777777778</v>
      </c>
      <c r="E470" t="n">
        <v>149</v>
      </c>
      <c r="F470" t="inlineStr">
        <is>
          <t>Card</t>
        </is>
      </c>
      <c r="G470" t="inlineStr">
        <is>
          <t>captured</t>
        </is>
      </c>
      <c r="H470" t="n">
        <v>50</v>
      </c>
      <c r="I470">
        <f>IFERROR(VLOOKUP(C470,Merchants!$A$2:$D$41,2,FALSE),"Merchant not found")</f>
        <v/>
      </c>
      <c r="J470">
        <f>IFERROR(VLOOKUP(C470,Merchants!$A$2:$D$41,3,FALSE),"Merchant not found")</f>
        <v/>
      </c>
      <c r="K470">
        <f>IFERROR(VLOOKUP(C470,Merchants!$A$2:$D$41,4,FALSE),"Merchant not found")</f>
        <v/>
      </c>
      <c r="L470" s="4">
        <f>HLOOKUP(F470,Fee_Tiers!$B$2:$E$3,2,FALSE)</f>
        <v/>
      </c>
      <c r="M470">
        <f>E470*L470</f>
        <v/>
      </c>
      <c r="N470" s="5" t="n">
        <v>46042</v>
      </c>
      <c r="O470">
        <f>C470&amp;"_"&amp;TEXT(N470,"yyyy-mm-dd")</f>
        <v/>
      </c>
      <c r="P470">
        <f>IFERROR(VLOOKUP(O470,Merchant_Day_Analysis!$A$5:$G$447,7,FALSE),"Not found")</f>
        <v/>
      </c>
    </row>
    <row r="471">
      <c r="A471" t="inlineStr">
        <is>
          <t>TXN100469</t>
        </is>
      </c>
      <c r="B471" t="n">
        <v>236</v>
      </c>
      <c r="C471" t="n">
        <v>37</v>
      </c>
      <c r="D471" s="6" t="n">
        <v>46025.47569444445</v>
      </c>
      <c r="E471" t="n">
        <v>299</v>
      </c>
      <c r="F471" t="inlineStr">
        <is>
          <t>Card</t>
        </is>
      </c>
      <c r="G471" t="inlineStr">
        <is>
          <t>captured</t>
        </is>
      </c>
      <c r="H471" t="n">
        <v>31</v>
      </c>
      <c r="I471">
        <f>IFERROR(VLOOKUP(C471,Merchants!$A$2:$D$41,2,FALSE),"Merchant not found")</f>
        <v/>
      </c>
      <c r="J471">
        <f>IFERROR(VLOOKUP(C471,Merchants!$A$2:$D$41,3,FALSE),"Merchant not found")</f>
        <v/>
      </c>
      <c r="K471">
        <f>IFERROR(VLOOKUP(C471,Merchants!$A$2:$D$41,4,FALSE),"Merchant not found")</f>
        <v/>
      </c>
      <c r="L471" s="4">
        <f>HLOOKUP(F471,Fee_Tiers!$B$2:$E$3,2,FALSE)</f>
        <v/>
      </c>
      <c r="M471">
        <f>E471*L471</f>
        <v/>
      </c>
      <c r="N471" s="5" t="n">
        <v>46025</v>
      </c>
      <c r="O471">
        <f>C471&amp;"_"&amp;TEXT(N471,"yyyy-mm-dd")</f>
        <v/>
      </c>
      <c r="P471">
        <f>IFERROR(VLOOKUP(O471,Merchant_Day_Analysis!$A$5:$G$447,7,FALSE),"Not found")</f>
        <v/>
      </c>
    </row>
    <row r="472">
      <c r="A472" t="inlineStr">
        <is>
          <t>TXN100470</t>
        </is>
      </c>
      <c r="B472" t="n">
        <v>42</v>
      </c>
      <c r="C472" t="n">
        <v>3</v>
      </c>
      <c r="D472" s="6" t="n">
        <v>46045.30486111111</v>
      </c>
      <c r="E472" t="n">
        <v>49</v>
      </c>
      <c r="F472" t="inlineStr">
        <is>
          <t>UPI</t>
        </is>
      </c>
      <c r="G472" t="inlineStr">
        <is>
          <t>captured</t>
        </is>
      </c>
      <c r="H472" t="n">
        <v>11</v>
      </c>
      <c r="I472">
        <f>IFERROR(VLOOKUP(C472,Merchants!$A$2:$D$41,2,FALSE),"Merchant not found")</f>
        <v/>
      </c>
      <c r="J472">
        <f>IFERROR(VLOOKUP(C472,Merchants!$A$2:$D$41,3,FALSE),"Merchant not found")</f>
        <v/>
      </c>
      <c r="K472">
        <f>IFERROR(VLOOKUP(C472,Merchants!$A$2:$D$41,4,FALSE),"Merchant not found")</f>
        <v/>
      </c>
      <c r="L472" s="4">
        <f>HLOOKUP(F472,Fee_Tiers!$B$2:$E$3,2,FALSE)</f>
        <v/>
      </c>
      <c r="M472">
        <f>E472*L472</f>
        <v/>
      </c>
      <c r="N472" s="5" t="n">
        <v>46045</v>
      </c>
      <c r="O472">
        <f>C472&amp;"_"&amp;TEXT(N472,"yyyy-mm-dd")</f>
        <v/>
      </c>
      <c r="P472">
        <f>IFERROR(VLOOKUP(O472,Merchant_Day_Analysis!$A$5:$G$447,7,FALSE),"Not found")</f>
        <v/>
      </c>
    </row>
    <row r="473">
      <c r="A473" t="inlineStr">
        <is>
          <t>TXN100471</t>
        </is>
      </c>
      <c r="B473" t="n">
        <v>283</v>
      </c>
      <c r="C473" t="n">
        <v>31</v>
      </c>
      <c r="D473" s="6" t="n">
        <v>46035.51666666667</v>
      </c>
      <c r="E473" t="n">
        <v>299</v>
      </c>
      <c r="F473" t="inlineStr">
        <is>
          <t>Netbanking</t>
        </is>
      </c>
      <c r="G473" t="inlineStr">
        <is>
          <t>captured</t>
        </is>
      </c>
      <c r="H473" t="n">
        <v>7</v>
      </c>
      <c r="I473">
        <f>IFERROR(VLOOKUP(C473,Merchants!$A$2:$D$41,2,FALSE),"Merchant not found")</f>
        <v/>
      </c>
      <c r="J473">
        <f>IFERROR(VLOOKUP(C473,Merchants!$A$2:$D$41,3,FALSE),"Merchant not found")</f>
        <v/>
      </c>
      <c r="K473">
        <f>IFERROR(VLOOKUP(C473,Merchants!$A$2:$D$41,4,FALSE),"Merchant not found")</f>
        <v/>
      </c>
      <c r="L473" s="4">
        <f>HLOOKUP(F473,Fee_Tiers!$B$2:$E$3,2,FALSE)</f>
        <v/>
      </c>
      <c r="M473">
        <f>E473*L473</f>
        <v/>
      </c>
      <c r="N473" s="5" t="n">
        <v>46035</v>
      </c>
      <c r="O473">
        <f>C473&amp;"_"&amp;TEXT(N473,"yyyy-mm-dd")</f>
        <v/>
      </c>
      <c r="P473">
        <f>IFERROR(VLOOKUP(O473,Merchant_Day_Analysis!$A$5:$G$447,7,FALSE),"Not found")</f>
        <v/>
      </c>
    </row>
    <row r="474">
      <c r="A474" t="inlineStr">
        <is>
          <t>TXN100472</t>
        </is>
      </c>
      <c r="B474" t="n">
        <v>88</v>
      </c>
      <c r="C474" t="n">
        <v>6</v>
      </c>
      <c r="D474" s="6" t="n">
        <v>46043.03055555555</v>
      </c>
      <c r="E474" t="n">
        <v>49</v>
      </c>
      <c r="F474" t="inlineStr">
        <is>
          <t>UPI</t>
        </is>
      </c>
      <c r="G474" t="inlineStr">
        <is>
          <t>captured</t>
        </is>
      </c>
      <c r="H474" t="n">
        <v>63</v>
      </c>
      <c r="I474">
        <f>IFERROR(VLOOKUP(C474,Merchants!$A$2:$D$41,2,FALSE),"Merchant not found")</f>
        <v/>
      </c>
      <c r="J474">
        <f>IFERROR(VLOOKUP(C474,Merchants!$A$2:$D$41,3,FALSE),"Merchant not found")</f>
        <v/>
      </c>
      <c r="K474">
        <f>IFERROR(VLOOKUP(C474,Merchants!$A$2:$D$41,4,FALSE),"Merchant not found")</f>
        <v/>
      </c>
      <c r="L474" s="4">
        <f>HLOOKUP(F474,Fee_Tiers!$B$2:$E$3,2,FALSE)</f>
        <v/>
      </c>
      <c r="M474">
        <f>E474*L474</f>
        <v/>
      </c>
      <c r="N474" s="5" t="n">
        <v>46043</v>
      </c>
      <c r="O474">
        <f>C474&amp;"_"&amp;TEXT(N474,"yyyy-mm-dd")</f>
        <v/>
      </c>
      <c r="P474">
        <f>IFERROR(VLOOKUP(O474,Merchant_Day_Analysis!$A$5:$G$447,7,FALSE),"Not found")</f>
        <v/>
      </c>
    </row>
    <row r="475">
      <c r="A475" t="inlineStr">
        <is>
          <t>TXN100473</t>
        </is>
      </c>
      <c r="B475" t="n">
        <v>170</v>
      </c>
      <c r="C475" t="n">
        <v>37</v>
      </c>
      <c r="D475" s="6" t="n">
        <v>46050.57013888889</v>
      </c>
      <c r="E475" t="n">
        <v>99</v>
      </c>
      <c r="F475" t="inlineStr">
        <is>
          <t>UPI</t>
        </is>
      </c>
      <c r="G475" t="inlineStr">
        <is>
          <t>failed</t>
        </is>
      </c>
      <c r="H475" t="n">
        <v>12</v>
      </c>
      <c r="I475">
        <f>IFERROR(VLOOKUP(C475,Merchants!$A$2:$D$41,2,FALSE),"Merchant not found")</f>
        <v/>
      </c>
      <c r="J475">
        <f>IFERROR(VLOOKUP(C475,Merchants!$A$2:$D$41,3,FALSE),"Merchant not found")</f>
        <v/>
      </c>
      <c r="K475">
        <f>IFERROR(VLOOKUP(C475,Merchants!$A$2:$D$41,4,FALSE),"Merchant not found")</f>
        <v/>
      </c>
      <c r="L475" s="4">
        <f>HLOOKUP(F475,Fee_Tiers!$B$2:$E$3,2,FALSE)</f>
        <v/>
      </c>
      <c r="M475">
        <f>E475*L475</f>
        <v/>
      </c>
      <c r="N475" s="5" t="n">
        <v>46050</v>
      </c>
      <c r="O475">
        <f>C475&amp;"_"&amp;TEXT(N475,"yyyy-mm-dd")</f>
        <v/>
      </c>
      <c r="P475">
        <f>IFERROR(VLOOKUP(O475,Merchant_Day_Analysis!$A$5:$G$447,7,FALSE),"Not found")</f>
        <v/>
      </c>
    </row>
    <row r="476">
      <c r="A476" t="inlineStr">
        <is>
          <t>TXN100474</t>
        </is>
      </c>
      <c r="B476" t="n">
        <v>22</v>
      </c>
      <c r="C476" t="n">
        <v>15</v>
      </c>
      <c r="D476" s="6" t="n">
        <v>46051.70694444444</v>
      </c>
      <c r="E476" t="n">
        <v>49</v>
      </c>
      <c r="F476" t="inlineStr">
        <is>
          <t>Netbanking</t>
        </is>
      </c>
      <c r="G476" t="inlineStr">
        <is>
          <t>captured</t>
        </is>
      </c>
      <c r="H476" t="n">
        <v>27</v>
      </c>
      <c r="I476">
        <f>IFERROR(VLOOKUP(C476,Merchants!$A$2:$D$41,2,FALSE),"Merchant not found")</f>
        <v/>
      </c>
      <c r="J476">
        <f>IFERROR(VLOOKUP(C476,Merchants!$A$2:$D$41,3,FALSE),"Merchant not found")</f>
        <v/>
      </c>
      <c r="K476">
        <f>IFERROR(VLOOKUP(C476,Merchants!$A$2:$D$41,4,FALSE),"Merchant not found")</f>
        <v/>
      </c>
      <c r="L476" s="4">
        <f>HLOOKUP(F476,Fee_Tiers!$B$2:$E$3,2,FALSE)</f>
        <v/>
      </c>
      <c r="M476">
        <f>E476*L476</f>
        <v/>
      </c>
      <c r="N476" s="5" t="n">
        <v>46051</v>
      </c>
      <c r="O476">
        <f>C476&amp;"_"&amp;TEXT(N476,"yyyy-mm-dd")</f>
        <v/>
      </c>
      <c r="P476">
        <f>IFERROR(VLOOKUP(O476,Merchant_Day_Analysis!$A$5:$G$447,7,FALSE),"Not found")</f>
        <v/>
      </c>
    </row>
    <row r="477">
      <c r="A477" t="inlineStr">
        <is>
          <t>TXN100475</t>
        </is>
      </c>
      <c r="B477" t="n">
        <v>291</v>
      </c>
      <c r="C477" t="n">
        <v>31</v>
      </c>
      <c r="D477" s="6" t="n">
        <v>46051.95555555556</v>
      </c>
      <c r="E477" t="n">
        <v>49</v>
      </c>
      <c r="F477" t="inlineStr">
        <is>
          <t>Netbanking</t>
        </is>
      </c>
      <c r="G477" t="inlineStr">
        <is>
          <t>failed</t>
        </is>
      </c>
      <c r="H477" t="n">
        <v>34</v>
      </c>
      <c r="I477">
        <f>IFERROR(VLOOKUP(C477,Merchants!$A$2:$D$41,2,FALSE),"Merchant not found")</f>
        <v/>
      </c>
      <c r="J477">
        <f>IFERROR(VLOOKUP(C477,Merchants!$A$2:$D$41,3,FALSE),"Merchant not found")</f>
        <v/>
      </c>
      <c r="K477">
        <f>IFERROR(VLOOKUP(C477,Merchants!$A$2:$D$41,4,FALSE),"Merchant not found")</f>
        <v/>
      </c>
      <c r="L477" s="4">
        <f>HLOOKUP(F477,Fee_Tiers!$B$2:$E$3,2,FALSE)</f>
        <v/>
      </c>
      <c r="M477">
        <f>E477*L477</f>
        <v/>
      </c>
      <c r="N477" s="5" t="n">
        <v>46051</v>
      </c>
      <c r="O477">
        <f>C477&amp;"_"&amp;TEXT(N477,"yyyy-mm-dd")</f>
        <v/>
      </c>
      <c r="P477">
        <f>IFERROR(VLOOKUP(O477,Merchant_Day_Analysis!$A$5:$G$447,7,FALSE),"Not found")</f>
        <v/>
      </c>
    </row>
    <row r="478">
      <c r="A478" t="inlineStr">
        <is>
          <t>TXN100476</t>
        </is>
      </c>
      <c r="B478" t="n">
        <v>144</v>
      </c>
      <c r="C478" t="n">
        <v>35</v>
      </c>
      <c r="D478" s="6" t="n">
        <v>46024.11319444444</v>
      </c>
      <c r="E478" t="n">
        <v>1499</v>
      </c>
      <c r="F478" t="inlineStr">
        <is>
          <t>UPI</t>
        </is>
      </c>
      <c r="G478" t="inlineStr">
        <is>
          <t>captured</t>
        </is>
      </c>
      <c r="H478" t="n">
        <v>72</v>
      </c>
      <c r="I478">
        <f>IFERROR(VLOOKUP(C478,Merchants!$A$2:$D$41,2,FALSE),"Merchant not found")</f>
        <v/>
      </c>
      <c r="J478">
        <f>IFERROR(VLOOKUP(C478,Merchants!$A$2:$D$41,3,FALSE),"Merchant not found")</f>
        <v/>
      </c>
      <c r="K478">
        <f>IFERROR(VLOOKUP(C478,Merchants!$A$2:$D$41,4,FALSE),"Merchant not found")</f>
        <v/>
      </c>
      <c r="L478" s="4">
        <f>HLOOKUP(F478,Fee_Tiers!$B$2:$E$3,2,FALSE)</f>
        <v/>
      </c>
      <c r="M478">
        <f>E478*L478</f>
        <v/>
      </c>
      <c r="N478" s="5" t="n">
        <v>46024</v>
      </c>
      <c r="O478">
        <f>C478&amp;"_"&amp;TEXT(N478,"yyyy-mm-dd")</f>
        <v/>
      </c>
      <c r="P478">
        <f>IFERROR(VLOOKUP(O478,Merchant_Day_Analysis!$A$5:$G$447,7,FALSE),"Not found")</f>
        <v/>
      </c>
    </row>
    <row r="479">
      <c r="A479" t="inlineStr">
        <is>
          <t>TXN100477</t>
        </is>
      </c>
      <c r="B479" t="n">
        <v>162</v>
      </c>
      <c r="C479" t="n">
        <v>2</v>
      </c>
      <c r="D479" s="6" t="n">
        <v>46044.04930555556</v>
      </c>
      <c r="E479" t="n">
        <v>299</v>
      </c>
      <c r="F479" t="inlineStr">
        <is>
          <t>Wallet</t>
        </is>
      </c>
      <c r="G479" t="inlineStr">
        <is>
          <t>captured</t>
        </is>
      </c>
      <c r="H479" t="n">
        <v>26</v>
      </c>
      <c r="I479">
        <f>IFERROR(VLOOKUP(C479,Merchants!$A$2:$D$41,2,FALSE),"Merchant not found")</f>
        <v/>
      </c>
      <c r="J479">
        <f>IFERROR(VLOOKUP(C479,Merchants!$A$2:$D$41,3,FALSE),"Merchant not found")</f>
        <v/>
      </c>
      <c r="K479">
        <f>IFERROR(VLOOKUP(C479,Merchants!$A$2:$D$41,4,FALSE),"Merchant not found")</f>
        <v/>
      </c>
      <c r="L479" s="4">
        <f>HLOOKUP(F479,Fee_Tiers!$B$2:$E$3,2,FALSE)</f>
        <v/>
      </c>
      <c r="M479">
        <f>E479*L479</f>
        <v/>
      </c>
      <c r="N479" s="5" t="n">
        <v>46044</v>
      </c>
      <c r="O479">
        <f>C479&amp;"_"&amp;TEXT(N479,"yyyy-mm-dd")</f>
        <v/>
      </c>
      <c r="P479">
        <f>IFERROR(VLOOKUP(O479,Merchant_Day_Analysis!$A$5:$G$447,7,FALSE),"Not found")</f>
        <v/>
      </c>
    </row>
    <row r="480">
      <c r="A480" t="inlineStr">
        <is>
          <t>TXN100478</t>
        </is>
      </c>
      <c r="B480" t="n">
        <v>204</v>
      </c>
      <c r="C480" t="n">
        <v>5</v>
      </c>
      <c r="D480" s="6" t="n">
        <v>46041.2</v>
      </c>
      <c r="E480" t="n">
        <v>49</v>
      </c>
      <c r="F480" t="inlineStr">
        <is>
          <t>UPI</t>
        </is>
      </c>
      <c r="G480" t="inlineStr">
        <is>
          <t>captured</t>
        </is>
      </c>
      <c r="H480" t="n">
        <v>38</v>
      </c>
      <c r="I480">
        <f>IFERROR(VLOOKUP(C480,Merchants!$A$2:$D$41,2,FALSE),"Merchant not found")</f>
        <v/>
      </c>
      <c r="J480">
        <f>IFERROR(VLOOKUP(C480,Merchants!$A$2:$D$41,3,FALSE),"Merchant not found")</f>
        <v/>
      </c>
      <c r="K480">
        <f>IFERROR(VLOOKUP(C480,Merchants!$A$2:$D$41,4,FALSE),"Merchant not found")</f>
        <v/>
      </c>
      <c r="L480" s="4">
        <f>HLOOKUP(F480,Fee_Tiers!$B$2:$E$3,2,FALSE)</f>
        <v/>
      </c>
      <c r="M480">
        <f>E480*L480</f>
        <v/>
      </c>
      <c r="N480" s="5" t="n">
        <v>46041</v>
      </c>
      <c r="O480">
        <f>C480&amp;"_"&amp;TEXT(N480,"yyyy-mm-dd")</f>
        <v/>
      </c>
      <c r="P480">
        <f>IFERROR(VLOOKUP(O480,Merchant_Day_Analysis!$A$5:$G$447,7,FALSE),"Not found")</f>
        <v/>
      </c>
    </row>
    <row r="481">
      <c r="A481" t="inlineStr">
        <is>
          <t>TXN100479</t>
        </is>
      </c>
      <c r="B481" t="n">
        <v>291</v>
      </c>
      <c r="C481" t="n">
        <v>25</v>
      </c>
      <c r="D481" s="6" t="n">
        <v>46028.76041666666</v>
      </c>
      <c r="E481" t="n">
        <v>99</v>
      </c>
      <c r="F481" t="inlineStr">
        <is>
          <t>Wallet</t>
        </is>
      </c>
      <c r="G481" t="inlineStr">
        <is>
          <t>captured</t>
        </is>
      </c>
      <c r="H481" t="n">
        <v>86</v>
      </c>
      <c r="I481">
        <f>IFERROR(VLOOKUP(C481,Merchants!$A$2:$D$41,2,FALSE),"Merchant not found")</f>
        <v/>
      </c>
      <c r="J481">
        <f>IFERROR(VLOOKUP(C481,Merchants!$A$2:$D$41,3,FALSE),"Merchant not found")</f>
        <v/>
      </c>
      <c r="K481">
        <f>IFERROR(VLOOKUP(C481,Merchants!$A$2:$D$41,4,FALSE),"Merchant not found")</f>
        <v/>
      </c>
      <c r="L481" s="4">
        <f>HLOOKUP(F481,Fee_Tiers!$B$2:$E$3,2,FALSE)</f>
        <v/>
      </c>
      <c r="M481">
        <f>E481*L481</f>
        <v/>
      </c>
      <c r="N481" s="5" t="n">
        <v>46028</v>
      </c>
      <c r="O481">
        <f>C481&amp;"_"&amp;TEXT(N481,"yyyy-mm-dd")</f>
        <v/>
      </c>
      <c r="P481">
        <f>IFERROR(VLOOKUP(O481,Merchant_Day_Analysis!$A$5:$G$447,7,FALSE),"Not found")</f>
        <v/>
      </c>
    </row>
    <row r="482">
      <c r="A482" t="inlineStr">
        <is>
          <t>TXN100480</t>
        </is>
      </c>
      <c r="B482" t="n">
        <v>197</v>
      </c>
      <c r="C482" t="n">
        <v>9</v>
      </c>
      <c r="D482" s="6" t="n">
        <v>46051.72291666667</v>
      </c>
      <c r="E482" t="n">
        <v>49</v>
      </c>
      <c r="F482" t="inlineStr">
        <is>
          <t>Wallet</t>
        </is>
      </c>
      <c r="G482" t="inlineStr">
        <is>
          <t>failed</t>
        </is>
      </c>
      <c r="H482" t="n">
        <v>88</v>
      </c>
      <c r="I482">
        <f>IFERROR(VLOOKUP(C482,Merchants!$A$2:$D$41,2,FALSE),"Merchant not found")</f>
        <v/>
      </c>
      <c r="J482">
        <f>IFERROR(VLOOKUP(C482,Merchants!$A$2:$D$41,3,FALSE),"Merchant not found")</f>
        <v/>
      </c>
      <c r="K482">
        <f>IFERROR(VLOOKUP(C482,Merchants!$A$2:$D$41,4,FALSE),"Merchant not found")</f>
        <v/>
      </c>
      <c r="L482" s="4">
        <f>HLOOKUP(F482,Fee_Tiers!$B$2:$E$3,2,FALSE)</f>
        <v/>
      </c>
      <c r="M482">
        <f>E482*L482</f>
        <v/>
      </c>
      <c r="N482" s="5" t="n">
        <v>46051</v>
      </c>
      <c r="O482">
        <f>C482&amp;"_"&amp;TEXT(N482,"yyyy-mm-dd")</f>
        <v/>
      </c>
      <c r="P482">
        <f>IFERROR(VLOOKUP(O482,Merchant_Day_Analysis!$A$5:$G$447,7,FALSE),"Not found")</f>
        <v/>
      </c>
    </row>
    <row r="483">
      <c r="A483" t="inlineStr">
        <is>
          <t>TXN100481</t>
        </is>
      </c>
      <c r="B483" t="n">
        <v>178</v>
      </c>
      <c r="C483" t="n">
        <v>4</v>
      </c>
      <c r="D483" s="6" t="n">
        <v>46046.10555555556</v>
      </c>
      <c r="E483" t="n">
        <v>1499</v>
      </c>
      <c r="F483" t="inlineStr">
        <is>
          <t>UPI</t>
        </is>
      </c>
      <c r="G483" t="inlineStr">
        <is>
          <t>captured</t>
        </is>
      </c>
      <c r="H483" t="n">
        <v>12</v>
      </c>
      <c r="I483">
        <f>IFERROR(VLOOKUP(C483,Merchants!$A$2:$D$41,2,FALSE),"Merchant not found")</f>
        <v/>
      </c>
      <c r="J483">
        <f>IFERROR(VLOOKUP(C483,Merchants!$A$2:$D$41,3,FALSE),"Merchant not found")</f>
        <v/>
      </c>
      <c r="K483">
        <f>IFERROR(VLOOKUP(C483,Merchants!$A$2:$D$41,4,FALSE),"Merchant not found")</f>
        <v/>
      </c>
      <c r="L483" s="4">
        <f>HLOOKUP(F483,Fee_Tiers!$B$2:$E$3,2,FALSE)</f>
        <v/>
      </c>
      <c r="M483">
        <f>E483*L483</f>
        <v/>
      </c>
      <c r="N483" s="5" t="n">
        <v>46046</v>
      </c>
      <c r="O483">
        <f>C483&amp;"_"&amp;TEXT(N483,"yyyy-mm-dd")</f>
        <v/>
      </c>
      <c r="P483">
        <f>IFERROR(VLOOKUP(O483,Merchant_Day_Analysis!$A$5:$G$447,7,FALSE),"Not found")</f>
        <v/>
      </c>
    </row>
    <row r="484">
      <c r="A484" t="inlineStr">
        <is>
          <t>TXN100482</t>
        </is>
      </c>
      <c r="B484" t="n">
        <v>39</v>
      </c>
      <c r="C484" t="n">
        <v>22</v>
      </c>
      <c r="D484" s="6" t="n">
        <v>46036.32847222222</v>
      </c>
      <c r="E484" t="n">
        <v>799</v>
      </c>
      <c r="F484" t="inlineStr">
        <is>
          <t>Netbanking</t>
        </is>
      </c>
      <c r="G484" t="inlineStr">
        <is>
          <t>captured</t>
        </is>
      </c>
      <c r="H484" t="n">
        <v>77</v>
      </c>
      <c r="I484">
        <f>IFERROR(VLOOKUP(C484,Merchants!$A$2:$D$41,2,FALSE),"Merchant not found")</f>
        <v/>
      </c>
      <c r="J484">
        <f>IFERROR(VLOOKUP(C484,Merchants!$A$2:$D$41,3,FALSE),"Merchant not found")</f>
        <v/>
      </c>
      <c r="K484">
        <f>IFERROR(VLOOKUP(C484,Merchants!$A$2:$D$41,4,FALSE),"Merchant not found")</f>
        <v/>
      </c>
      <c r="L484" s="4">
        <f>HLOOKUP(F484,Fee_Tiers!$B$2:$E$3,2,FALSE)</f>
        <v/>
      </c>
      <c r="M484">
        <f>E484*L484</f>
        <v/>
      </c>
      <c r="N484" s="5" t="n">
        <v>46036</v>
      </c>
      <c r="O484">
        <f>C484&amp;"_"&amp;TEXT(N484,"yyyy-mm-dd")</f>
        <v/>
      </c>
      <c r="P484">
        <f>IFERROR(VLOOKUP(O484,Merchant_Day_Analysis!$A$5:$G$447,7,FALSE),"Not found")</f>
        <v/>
      </c>
    </row>
    <row r="485">
      <c r="A485" t="inlineStr">
        <is>
          <t>TXN100483</t>
        </is>
      </c>
      <c r="B485" t="n">
        <v>204</v>
      </c>
      <c r="C485" t="n">
        <v>21</v>
      </c>
      <c r="D485" s="6" t="n">
        <v>46047.81805555556</v>
      </c>
      <c r="E485" t="n">
        <v>299</v>
      </c>
      <c r="F485" t="inlineStr">
        <is>
          <t>Wallet</t>
        </is>
      </c>
      <c r="G485" t="inlineStr">
        <is>
          <t>captured</t>
        </is>
      </c>
      <c r="H485" t="n">
        <v>3</v>
      </c>
      <c r="I485">
        <f>IFERROR(VLOOKUP(C485,Merchants!$A$2:$D$41,2,FALSE),"Merchant not found")</f>
        <v/>
      </c>
      <c r="J485">
        <f>IFERROR(VLOOKUP(C485,Merchants!$A$2:$D$41,3,FALSE),"Merchant not found")</f>
        <v/>
      </c>
      <c r="K485">
        <f>IFERROR(VLOOKUP(C485,Merchants!$A$2:$D$41,4,FALSE),"Merchant not found")</f>
        <v/>
      </c>
      <c r="L485" s="4">
        <f>HLOOKUP(F485,Fee_Tiers!$B$2:$E$3,2,FALSE)</f>
        <v/>
      </c>
      <c r="M485">
        <f>E485*L485</f>
        <v/>
      </c>
      <c r="N485" s="5" t="n">
        <v>46047</v>
      </c>
      <c r="O485">
        <f>C485&amp;"_"&amp;TEXT(N485,"yyyy-mm-dd")</f>
        <v/>
      </c>
      <c r="P485">
        <f>IFERROR(VLOOKUP(O485,Merchant_Day_Analysis!$A$5:$G$447,7,FALSE),"Not found")</f>
        <v/>
      </c>
    </row>
    <row r="486">
      <c r="A486" t="inlineStr">
        <is>
          <t>TXN100484</t>
        </is>
      </c>
      <c r="B486" t="n">
        <v>231</v>
      </c>
      <c r="C486" t="n">
        <v>32</v>
      </c>
      <c r="D486" s="6" t="n">
        <v>46043.36805555555</v>
      </c>
      <c r="E486" t="n">
        <v>299</v>
      </c>
      <c r="F486" t="inlineStr">
        <is>
          <t>UPI</t>
        </is>
      </c>
      <c r="G486" t="inlineStr">
        <is>
          <t>captured</t>
        </is>
      </c>
      <c r="H486" t="n">
        <v>29</v>
      </c>
      <c r="I486">
        <f>IFERROR(VLOOKUP(C486,Merchants!$A$2:$D$41,2,FALSE),"Merchant not found")</f>
        <v/>
      </c>
      <c r="J486">
        <f>IFERROR(VLOOKUP(C486,Merchants!$A$2:$D$41,3,FALSE),"Merchant not found")</f>
        <v/>
      </c>
      <c r="K486">
        <f>IFERROR(VLOOKUP(C486,Merchants!$A$2:$D$41,4,FALSE),"Merchant not found")</f>
        <v/>
      </c>
      <c r="L486" s="4">
        <f>HLOOKUP(F486,Fee_Tiers!$B$2:$E$3,2,FALSE)</f>
        <v/>
      </c>
      <c r="M486">
        <f>E486*L486</f>
        <v/>
      </c>
      <c r="N486" s="5" t="n">
        <v>46043</v>
      </c>
      <c r="O486">
        <f>C486&amp;"_"&amp;TEXT(N486,"yyyy-mm-dd")</f>
        <v/>
      </c>
      <c r="P486">
        <f>IFERROR(VLOOKUP(O486,Merchant_Day_Analysis!$A$5:$G$447,7,FALSE),"Not found")</f>
        <v/>
      </c>
    </row>
    <row r="487">
      <c r="A487" t="inlineStr">
        <is>
          <t>TXN100485</t>
        </is>
      </c>
      <c r="B487" t="n">
        <v>222</v>
      </c>
      <c r="C487" t="n">
        <v>12</v>
      </c>
      <c r="D487" s="6" t="n">
        <v>46034.725</v>
      </c>
      <c r="E487" t="n">
        <v>499</v>
      </c>
      <c r="F487" t="inlineStr">
        <is>
          <t>Wallet</t>
        </is>
      </c>
      <c r="G487" t="inlineStr">
        <is>
          <t>failed</t>
        </is>
      </c>
      <c r="H487" t="n">
        <v>87</v>
      </c>
      <c r="I487">
        <f>IFERROR(VLOOKUP(C487,Merchants!$A$2:$D$41,2,FALSE),"Merchant not found")</f>
        <v/>
      </c>
      <c r="J487">
        <f>IFERROR(VLOOKUP(C487,Merchants!$A$2:$D$41,3,FALSE),"Merchant not found")</f>
        <v/>
      </c>
      <c r="K487">
        <f>IFERROR(VLOOKUP(C487,Merchants!$A$2:$D$41,4,FALSE),"Merchant not found")</f>
        <v/>
      </c>
      <c r="L487" s="4">
        <f>HLOOKUP(F487,Fee_Tiers!$B$2:$E$3,2,FALSE)</f>
        <v/>
      </c>
      <c r="M487">
        <f>E487*L487</f>
        <v/>
      </c>
      <c r="N487" s="5" t="n">
        <v>46034</v>
      </c>
      <c r="O487">
        <f>C487&amp;"_"&amp;TEXT(N487,"yyyy-mm-dd")</f>
        <v/>
      </c>
      <c r="P487">
        <f>IFERROR(VLOOKUP(O487,Merchant_Day_Analysis!$A$5:$G$447,7,FALSE),"Not found")</f>
        <v/>
      </c>
    </row>
    <row r="488">
      <c r="A488" t="inlineStr">
        <is>
          <t>TXN100486</t>
        </is>
      </c>
      <c r="B488" t="n">
        <v>44</v>
      </c>
      <c r="C488" t="n">
        <v>40</v>
      </c>
      <c r="D488" s="6" t="n">
        <v>46041.89166666667</v>
      </c>
      <c r="E488" t="n">
        <v>499</v>
      </c>
      <c r="F488" t="inlineStr">
        <is>
          <t>UPI</t>
        </is>
      </c>
      <c r="G488" t="inlineStr">
        <is>
          <t>captured</t>
        </is>
      </c>
      <c r="H488" t="n">
        <v>37</v>
      </c>
      <c r="I488">
        <f>IFERROR(VLOOKUP(C488,Merchants!$A$2:$D$41,2,FALSE),"Merchant not found")</f>
        <v/>
      </c>
      <c r="J488">
        <f>IFERROR(VLOOKUP(C488,Merchants!$A$2:$D$41,3,FALSE),"Merchant not found")</f>
        <v/>
      </c>
      <c r="K488">
        <f>IFERROR(VLOOKUP(C488,Merchants!$A$2:$D$41,4,FALSE),"Merchant not found")</f>
        <v/>
      </c>
      <c r="L488" s="4">
        <f>HLOOKUP(F488,Fee_Tiers!$B$2:$E$3,2,FALSE)</f>
        <v/>
      </c>
      <c r="M488">
        <f>E488*L488</f>
        <v/>
      </c>
      <c r="N488" s="5" t="n">
        <v>46041</v>
      </c>
      <c r="O488">
        <f>C488&amp;"_"&amp;TEXT(N488,"yyyy-mm-dd")</f>
        <v/>
      </c>
      <c r="P488">
        <f>IFERROR(VLOOKUP(O488,Merchant_Day_Analysis!$A$5:$G$447,7,FALSE),"Not found")</f>
        <v/>
      </c>
    </row>
    <row r="489">
      <c r="A489" t="inlineStr">
        <is>
          <t>TXN100487</t>
        </is>
      </c>
      <c r="B489" t="n">
        <v>38</v>
      </c>
      <c r="C489" t="n">
        <v>6</v>
      </c>
      <c r="D489" s="6" t="n">
        <v>46048.32291666666</v>
      </c>
      <c r="E489" t="n">
        <v>49</v>
      </c>
      <c r="F489" t="inlineStr">
        <is>
          <t>Wallet</t>
        </is>
      </c>
      <c r="G489" t="inlineStr">
        <is>
          <t>captured</t>
        </is>
      </c>
      <c r="H489" t="n">
        <v>34</v>
      </c>
      <c r="I489">
        <f>IFERROR(VLOOKUP(C489,Merchants!$A$2:$D$41,2,FALSE),"Merchant not found")</f>
        <v/>
      </c>
      <c r="J489">
        <f>IFERROR(VLOOKUP(C489,Merchants!$A$2:$D$41,3,FALSE),"Merchant not found")</f>
        <v/>
      </c>
      <c r="K489">
        <f>IFERROR(VLOOKUP(C489,Merchants!$A$2:$D$41,4,FALSE),"Merchant not found")</f>
        <v/>
      </c>
      <c r="L489" s="4">
        <f>HLOOKUP(F489,Fee_Tiers!$B$2:$E$3,2,FALSE)</f>
        <v/>
      </c>
      <c r="M489">
        <f>E489*L489</f>
        <v/>
      </c>
      <c r="N489" s="5" t="n">
        <v>46048</v>
      </c>
      <c r="O489">
        <f>C489&amp;"_"&amp;TEXT(N489,"yyyy-mm-dd")</f>
        <v/>
      </c>
      <c r="P489">
        <f>IFERROR(VLOOKUP(O489,Merchant_Day_Analysis!$A$5:$G$447,7,FALSE),"Not found")</f>
        <v/>
      </c>
    </row>
    <row r="490">
      <c r="A490" t="inlineStr">
        <is>
          <t>TXN100488</t>
        </is>
      </c>
      <c r="B490" t="n">
        <v>325</v>
      </c>
      <c r="C490" t="n">
        <v>10</v>
      </c>
      <c r="D490" s="6" t="n">
        <v>46027.53125</v>
      </c>
      <c r="E490" t="n">
        <v>49</v>
      </c>
      <c r="F490" t="inlineStr">
        <is>
          <t>Netbanking</t>
        </is>
      </c>
      <c r="G490" t="inlineStr">
        <is>
          <t>chargeback</t>
        </is>
      </c>
      <c r="H490" t="n">
        <v>94</v>
      </c>
      <c r="I490">
        <f>IFERROR(VLOOKUP(C490,Merchants!$A$2:$D$41,2,FALSE),"Merchant not found")</f>
        <v/>
      </c>
      <c r="J490">
        <f>IFERROR(VLOOKUP(C490,Merchants!$A$2:$D$41,3,FALSE),"Merchant not found")</f>
        <v/>
      </c>
      <c r="K490">
        <f>IFERROR(VLOOKUP(C490,Merchants!$A$2:$D$41,4,FALSE),"Merchant not found")</f>
        <v/>
      </c>
      <c r="L490" s="4">
        <f>HLOOKUP(F490,Fee_Tiers!$B$2:$E$3,2,FALSE)</f>
        <v/>
      </c>
      <c r="M490">
        <f>E490*L490</f>
        <v/>
      </c>
      <c r="N490" s="5" t="n">
        <v>46027</v>
      </c>
      <c r="O490">
        <f>C490&amp;"_"&amp;TEXT(N490,"yyyy-mm-dd")</f>
        <v/>
      </c>
      <c r="P490">
        <f>IFERROR(VLOOKUP(O490,Merchant_Day_Analysis!$A$5:$G$447,7,FALSE),"Not found")</f>
        <v/>
      </c>
    </row>
    <row r="491">
      <c r="A491" t="inlineStr">
        <is>
          <t>TXN100489</t>
        </is>
      </c>
      <c r="B491" t="n">
        <v>55</v>
      </c>
      <c r="C491" t="n">
        <v>6</v>
      </c>
      <c r="D491" s="6" t="n">
        <v>46035.43263888889</v>
      </c>
      <c r="E491" t="n">
        <v>1499</v>
      </c>
      <c r="F491" t="inlineStr">
        <is>
          <t>Card</t>
        </is>
      </c>
      <c r="G491" t="inlineStr">
        <is>
          <t>captured</t>
        </is>
      </c>
      <c r="H491" t="n">
        <v>0</v>
      </c>
      <c r="I491">
        <f>IFERROR(VLOOKUP(C491,Merchants!$A$2:$D$41,2,FALSE),"Merchant not found")</f>
        <v/>
      </c>
      <c r="J491">
        <f>IFERROR(VLOOKUP(C491,Merchants!$A$2:$D$41,3,FALSE),"Merchant not found")</f>
        <v/>
      </c>
      <c r="K491">
        <f>IFERROR(VLOOKUP(C491,Merchants!$A$2:$D$41,4,FALSE),"Merchant not found")</f>
        <v/>
      </c>
      <c r="L491" s="4">
        <f>HLOOKUP(F491,Fee_Tiers!$B$2:$E$3,2,FALSE)</f>
        <v/>
      </c>
      <c r="M491">
        <f>E491*L491</f>
        <v/>
      </c>
      <c r="N491" s="5" t="n">
        <v>46035</v>
      </c>
      <c r="O491">
        <f>C491&amp;"_"&amp;TEXT(N491,"yyyy-mm-dd")</f>
        <v/>
      </c>
      <c r="P491">
        <f>IFERROR(VLOOKUP(O491,Merchant_Day_Analysis!$A$5:$G$447,7,FALSE),"Not found")</f>
        <v/>
      </c>
    </row>
    <row r="492">
      <c r="A492" t="inlineStr">
        <is>
          <t>TXN100490</t>
        </is>
      </c>
      <c r="B492" t="n">
        <v>139</v>
      </c>
      <c r="C492" t="n">
        <v>7</v>
      </c>
      <c r="D492" s="6" t="n">
        <v>46032.59930555556</v>
      </c>
      <c r="E492" t="n">
        <v>499</v>
      </c>
      <c r="F492" t="inlineStr">
        <is>
          <t>Card</t>
        </is>
      </c>
      <c r="G492" t="inlineStr">
        <is>
          <t>captured</t>
        </is>
      </c>
      <c r="H492" t="n">
        <v>16</v>
      </c>
      <c r="I492">
        <f>IFERROR(VLOOKUP(C492,Merchants!$A$2:$D$41,2,FALSE),"Merchant not found")</f>
        <v/>
      </c>
      <c r="J492">
        <f>IFERROR(VLOOKUP(C492,Merchants!$A$2:$D$41,3,FALSE),"Merchant not found")</f>
        <v/>
      </c>
      <c r="K492">
        <f>IFERROR(VLOOKUP(C492,Merchants!$A$2:$D$41,4,FALSE),"Merchant not found")</f>
        <v/>
      </c>
      <c r="L492" s="4">
        <f>HLOOKUP(F492,Fee_Tiers!$B$2:$E$3,2,FALSE)</f>
        <v/>
      </c>
      <c r="M492">
        <f>E492*L492</f>
        <v/>
      </c>
      <c r="N492" s="5" t="n">
        <v>46032</v>
      </c>
      <c r="O492">
        <f>C492&amp;"_"&amp;TEXT(N492,"yyyy-mm-dd")</f>
        <v/>
      </c>
      <c r="P492">
        <f>IFERROR(VLOOKUP(O492,Merchant_Day_Analysis!$A$5:$G$447,7,FALSE),"Not found")</f>
        <v/>
      </c>
    </row>
    <row r="493">
      <c r="A493" t="inlineStr">
        <is>
          <t>TXN100491</t>
        </is>
      </c>
      <c r="B493" t="n">
        <v>230</v>
      </c>
      <c r="C493" t="n">
        <v>36</v>
      </c>
      <c r="D493" s="6" t="n">
        <v>46025.22708333333</v>
      </c>
      <c r="E493" t="n">
        <v>99</v>
      </c>
      <c r="F493" t="inlineStr">
        <is>
          <t>Wallet</t>
        </is>
      </c>
      <c r="G493" t="inlineStr">
        <is>
          <t>captured</t>
        </is>
      </c>
      <c r="H493" t="n">
        <v>71</v>
      </c>
      <c r="I493">
        <f>IFERROR(VLOOKUP(C493,Merchants!$A$2:$D$41,2,FALSE),"Merchant not found")</f>
        <v/>
      </c>
      <c r="J493">
        <f>IFERROR(VLOOKUP(C493,Merchants!$A$2:$D$41,3,FALSE),"Merchant not found")</f>
        <v/>
      </c>
      <c r="K493">
        <f>IFERROR(VLOOKUP(C493,Merchants!$A$2:$D$41,4,FALSE),"Merchant not found")</f>
        <v/>
      </c>
      <c r="L493" s="4">
        <f>HLOOKUP(F493,Fee_Tiers!$B$2:$E$3,2,FALSE)</f>
        <v/>
      </c>
      <c r="M493">
        <f>E493*L493</f>
        <v/>
      </c>
      <c r="N493" s="5" t="n">
        <v>46025</v>
      </c>
      <c r="O493">
        <f>C493&amp;"_"&amp;TEXT(N493,"yyyy-mm-dd")</f>
        <v/>
      </c>
      <c r="P493">
        <f>IFERROR(VLOOKUP(O493,Merchant_Day_Analysis!$A$5:$G$447,7,FALSE),"Not found")</f>
        <v/>
      </c>
    </row>
    <row r="494">
      <c r="A494" t="inlineStr">
        <is>
          <t>TXN100492</t>
        </is>
      </c>
      <c r="B494" t="n">
        <v>14</v>
      </c>
      <c r="C494" t="n">
        <v>6</v>
      </c>
      <c r="D494" s="6" t="n">
        <v>46039.54583333333</v>
      </c>
      <c r="E494" t="n">
        <v>799</v>
      </c>
      <c r="F494" t="inlineStr">
        <is>
          <t>Card</t>
        </is>
      </c>
      <c r="G494" t="inlineStr">
        <is>
          <t>captured</t>
        </is>
      </c>
      <c r="H494" t="n">
        <v>45</v>
      </c>
      <c r="I494">
        <f>IFERROR(VLOOKUP(C494,Merchants!$A$2:$D$41,2,FALSE),"Merchant not found")</f>
        <v/>
      </c>
      <c r="J494">
        <f>IFERROR(VLOOKUP(C494,Merchants!$A$2:$D$41,3,FALSE),"Merchant not found")</f>
        <v/>
      </c>
      <c r="K494">
        <f>IFERROR(VLOOKUP(C494,Merchants!$A$2:$D$41,4,FALSE),"Merchant not found")</f>
        <v/>
      </c>
      <c r="L494" s="4">
        <f>HLOOKUP(F494,Fee_Tiers!$B$2:$E$3,2,FALSE)</f>
        <v/>
      </c>
      <c r="M494">
        <f>E494*L494</f>
        <v/>
      </c>
      <c r="N494" s="5" t="n">
        <v>46039</v>
      </c>
      <c r="O494">
        <f>C494&amp;"_"&amp;TEXT(N494,"yyyy-mm-dd")</f>
        <v/>
      </c>
      <c r="P494">
        <f>IFERROR(VLOOKUP(O494,Merchant_Day_Analysis!$A$5:$G$447,7,FALSE),"Not found")</f>
        <v/>
      </c>
    </row>
    <row r="495">
      <c r="A495" t="inlineStr">
        <is>
          <t>TXN100493</t>
        </is>
      </c>
      <c r="B495" t="n">
        <v>307</v>
      </c>
      <c r="C495" t="n">
        <v>21</v>
      </c>
      <c r="D495" s="6" t="n">
        <v>46040.10972222222</v>
      </c>
      <c r="E495" t="n">
        <v>799</v>
      </c>
      <c r="F495" t="inlineStr">
        <is>
          <t>UPI</t>
        </is>
      </c>
      <c r="G495" t="inlineStr">
        <is>
          <t>captured</t>
        </is>
      </c>
      <c r="H495" t="n">
        <v>49</v>
      </c>
      <c r="I495">
        <f>IFERROR(VLOOKUP(C495,Merchants!$A$2:$D$41,2,FALSE),"Merchant not found")</f>
        <v/>
      </c>
      <c r="J495">
        <f>IFERROR(VLOOKUP(C495,Merchants!$A$2:$D$41,3,FALSE),"Merchant not found")</f>
        <v/>
      </c>
      <c r="K495">
        <f>IFERROR(VLOOKUP(C495,Merchants!$A$2:$D$41,4,FALSE),"Merchant not found")</f>
        <v/>
      </c>
      <c r="L495" s="4">
        <f>HLOOKUP(F495,Fee_Tiers!$B$2:$E$3,2,FALSE)</f>
        <v/>
      </c>
      <c r="M495">
        <f>E495*L495</f>
        <v/>
      </c>
      <c r="N495" s="5" t="n">
        <v>46040</v>
      </c>
      <c r="O495">
        <f>C495&amp;"_"&amp;TEXT(N495,"yyyy-mm-dd")</f>
        <v/>
      </c>
      <c r="P495">
        <f>IFERROR(VLOOKUP(O495,Merchant_Day_Analysis!$A$5:$G$447,7,FALSE),"Not found")</f>
        <v/>
      </c>
    </row>
    <row r="496">
      <c r="A496" t="inlineStr">
        <is>
          <t>TXN100494</t>
        </is>
      </c>
      <c r="B496" t="n">
        <v>199</v>
      </c>
      <c r="C496" t="n">
        <v>6</v>
      </c>
      <c r="D496" s="6" t="n">
        <v>46023.39305555556</v>
      </c>
      <c r="E496" t="n">
        <v>49</v>
      </c>
      <c r="F496" t="inlineStr">
        <is>
          <t>UPI</t>
        </is>
      </c>
      <c r="G496" t="inlineStr">
        <is>
          <t>captured</t>
        </is>
      </c>
      <c r="H496" t="n">
        <v>92</v>
      </c>
      <c r="I496">
        <f>IFERROR(VLOOKUP(C496,Merchants!$A$2:$D$41,2,FALSE),"Merchant not found")</f>
        <v/>
      </c>
      <c r="J496">
        <f>IFERROR(VLOOKUP(C496,Merchants!$A$2:$D$41,3,FALSE),"Merchant not found")</f>
        <v/>
      </c>
      <c r="K496">
        <f>IFERROR(VLOOKUP(C496,Merchants!$A$2:$D$41,4,FALSE),"Merchant not found")</f>
        <v/>
      </c>
      <c r="L496" s="4">
        <f>HLOOKUP(F496,Fee_Tiers!$B$2:$E$3,2,FALSE)</f>
        <v/>
      </c>
      <c r="M496">
        <f>E496*L496</f>
        <v/>
      </c>
      <c r="N496" s="5" t="n">
        <v>46023</v>
      </c>
      <c r="O496">
        <f>C496&amp;"_"&amp;TEXT(N496,"yyyy-mm-dd")</f>
        <v/>
      </c>
      <c r="P496">
        <f>IFERROR(VLOOKUP(O496,Merchant_Day_Analysis!$A$5:$G$447,7,FALSE),"Not found")</f>
        <v/>
      </c>
    </row>
    <row r="497">
      <c r="A497" t="inlineStr">
        <is>
          <t>TXN100495</t>
        </is>
      </c>
      <c r="B497" t="n">
        <v>125</v>
      </c>
      <c r="C497" t="n">
        <v>37</v>
      </c>
      <c r="D497" s="6" t="n">
        <v>46051.74791666667</v>
      </c>
      <c r="E497" t="n">
        <v>149</v>
      </c>
      <c r="F497" t="inlineStr">
        <is>
          <t>Wallet</t>
        </is>
      </c>
      <c r="G497" t="inlineStr">
        <is>
          <t>captured</t>
        </is>
      </c>
      <c r="H497" t="n">
        <v>66</v>
      </c>
      <c r="I497">
        <f>IFERROR(VLOOKUP(C497,Merchants!$A$2:$D$41,2,FALSE),"Merchant not found")</f>
        <v/>
      </c>
      <c r="J497">
        <f>IFERROR(VLOOKUP(C497,Merchants!$A$2:$D$41,3,FALSE),"Merchant not found")</f>
        <v/>
      </c>
      <c r="K497">
        <f>IFERROR(VLOOKUP(C497,Merchants!$A$2:$D$41,4,FALSE),"Merchant not found")</f>
        <v/>
      </c>
      <c r="L497" s="4">
        <f>HLOOKUP(F497,Fee_Tiers!$B$2:$E$3,2,FALSE)</f>
        <v/>
      </c>
      <c r="M497">
        <f>E497*L497</f>
        <v/>
      </c>
      <c r="N497" s="5" t="n">
        <v>46051</v>
      </c>
      <c r="O497">
        <f>C497&amp;"_"&amp;TEXT(N497,"yyyy-mm-dd")</f>
        <v/>
      </c>
      <c r="P497">
        <f>IFERROR(VLOOKUP(O497,Merchant_Day_Analysis!$A$5:$G$447,7,FALSE),"Not found")</f>
        <v/>
      </c>
    </row>
    <row r="498">
      <c r="A498" t="inlineStr">
        <is>
          <t>TXN100496</t>
        </is>
      </c>
      <c r="B498" t="n">
        <v>87</v>
      </c>
      <c r="C498" t="n">
        <v>9</v>
      </c>
      <c r="D498" s="6" t="n">
        <v>46028.89166666667</v>
      </c>
      <c r="E498" t="n">
        <v>149</v>
      </c>
      <c r="F498" t="inlineStr">
        <is>
          <t>UPI</t>
        </is>
      </c>
      <c r="G498" t="inlineStr">
        <is>
          <t>captured</t>
        </is>
      </c>
      <c r="H498" t="n">
        <v>34</v>
      </c>
      <c r="I498">
        <f>IFERROR(VLOOKUP(C498,Merchants!$A$2:$D$41,2,FALSE),"Merchant not found")</f>
        <v/>
      </c>
      <c r="J498">
        <f>IFERROR(VLOOKUP(C498,Merchants!$A$2:$D$41,3,FALSE),"Merchant not found")</f>
        <v/>
      </c>
      <c r="K498">
        <f>IFERROR(VLOOKUP(C498,Merchants!$A$2:$D$41,4,FALSE),"Merchant not found")</f>
        <v/>
      </c>
      <c r="L498" s="4">
        <f>HLOOKUP(F498,Fee_Tiers!$B$2:$E$3,2,FALSE)</f>
        <v/>
      </c>
      <c r="M498">
        <f>E498*L498</f>
        <v/>
      </c>
      <c r="N498" s="5" t="n">
        <v>46028</v>
      </c>
      <c r="O498">
        <f>C498&amp;"_"&amp;TEXT(N498,"yyyy-mm-dd")</f>
        <v/>
      </c>
      <c r="P498">
        <f>IFERROR(VLOOKUP(O498,Merchant_Day_Analysis!$A$5:$G$447,7,FALSE),"Not found")</f>
        <v/>
      </c>
    </row>
    <row r="499">
      <c r="A499" t="inlineStr">
        <is>
          <t>TXN100497</t>
        </is>
      </c>
      <c r="B499" t="n">
        <v>75</v>
      </c>
      <c r="C499" t="n">
        <v>5</v>
      </c>
      <c r="D499" s="6" t="n">
        <v>46032.35486111111</v>
      </c>
      <c r="E499" t="n">
        <v>99</v>
      </c>
      <c r="F499" t="inlineStr">
        <is>
          <t>UPI</t>
        </is>
      </c>
      <c r="G499" t="inlineStr">
        <is>
          <t>captured</t>
        </is>
      </c>
      <c r="H499" t="n">
        <v>21</v>
      </c>
      <c r="I499">
        <f>IFERROR(VLOOKUP(C499,Merchants!$A$2:$D$41,2,FALSE),"Merchant not found")</f>
        <v/>
      </c>
      <c r="J499">
        <f>IFERROR(VLOOKUP(C499,Merchants!$A$2:$D$41,3,FALSE),"Merchant not found")</f>
        <v/>
      </c>
      <c r="K499">
        <f>IFERROR(VLOOKUP(C499,Merchants!$A$2:$D$41,4,FALSE),"Merchant not found")</f>
        <v/>
      </c>
      <c r="L499" s="4">
        <f>HLOOKUP(F499,Fee_Tiers!$B$2:$E$3,2,FALSE)</f>
        <v/>
      </c>
      <c r="M499">
        <f>E499*L499</f>
        <v/>
      </c>
      <c r="N499" s="5" t="n">
        <v>46032</v>
      </c>
      <c r="O499">
        <f>C499&amp;"_"&amp;TEXT(N499,"yyyy-mm-dd")</f>
        <v/>
      </c>
      <c r="P499">
        <f>IFERROR(VLOOKUP(O499,Merchant_Day_Analysis!$A$5:$G$447,7,FALSE),"Not found")</f>
        <v/>
      </c>
    </row>
    <row r="500">
      <c r="A500" t="inlineStr">
        <is>
          <t>TXN100498</t>
        </is>
      </c>
      <c r="B500" t="n">
        <v>154</v>
      </c>
      <c r="C500" t="n">
        <v>31</v>
      </c>
      <c r="D500" s="6" t="n">
        <v>46036.35138888889</v>
      </c>
      <c r="E500" t="n">
        <v>499</v>
      </c>
      <c r="F500" t="inlineStr">
        <is>
          <t>Wallet</t>
        </is>
      </c>
      <c r="G500" t="inlineStr">
        <is>
          <t>captured</t>
        </is>
      </c>
      <c r="H500" t="n">
        <v>100</v>
      </c>
      <c r="I500">
        <f>IFERROR(VLOOKUP(C500,Merchants!$A$2:$D$41,2,FALSE),"Merchant not found")</f>
        <v/>
      </c>
      <c r="J500">
        <f>IFERROR(VLOOKUP(C500,Merchants!$A$2:$D$41,3,FALSE),"Merchant not found")</f>
        <v/>
      </c>
      <c r="K500">
        <f>IFERROR(VLOOKUP(C500,Merchants!$A$2:$D$41,4,FALSE),"Merchant not found")</f>
        <v/>
      </c>
      <c r="L500" s="4">
        <f>HLOOKUP(F500,Fee_Tiers!$B$2:$E$3,2,FALSE)</f>
        <v/>
      </c>
      <c r="M500">
        <f>E500*L500</f>
        <v/>
      </c>
      <c r="N500" s="5" t="n">
        <v>46036</v>
      </c>
      <c r="O500">
        <f>C500&amp;"_"&amp;TEXT(N500,"yyyy-mm-dd")</f>
        <v/>
      </c>
      <c r="P500">
        <f>IFERROR(VLOOKUP(O500,Merchant_Day_Analysis!$A$5:$G$447,7,FALSE),"Not found")</f>
        <v/>
      </c>
    </row>
    <row r="501">
      <c r="A501" t="inlineStr">
        <is>
          <t>TXN100499</t>
        </is>
      </c>
      <c r="B501" t="n">
        <v>127</v>
      </c>
      <c r="C501" t="n">
        <v>32</v>
      </c>
      <c r="D501" s="6" t="n">
        <v>46025.46944444445</v>
      </c>
      <c r="E501" t="n">
        <v>149</v>
      </c>
      <c r="F501" t="inlineStr">
        <is>
          <t>Card</t>
        </is>
      </c>
      <c r="G501" t="inlineStr">
        <is>
          <t>captured</t>
        </is>
      </c>
      <c r="H501" t="n">
        <v>76</v>
      </c>
      <c r="I501">
        <f>IFERROR(VLOOKUP(C501,Merchants!$A$2:$D$41,2,FALSE),"Merchant not found")</f>
        <v/>
      </c>
      <c r="J501">
        <f>IFERROR(VLOOKUP(C501,Merchants!$A$2:$D$41,3,FALSE),"Merchant not found")</f>
        <v/>
      </c>
      <c r="K501">
        <f>IFERROR(VLOOKUP(C501,Merchants!$A$2:$D$41,4,FALSE),"Merchant not found")</f>
        <v/>
      </c>
      <c r="L501" s="4">
        <f>HLOOKUP(F501,Fee_Tiers!$B$2:$E$3,2,FALSE)</f>
        <v/>
      </c>
      <c r="M501">
        <f>E501*L501</f>
        <v/>
      </c>
      <c r="N501" s="5" t="n">
        <v>46025</v>
      </c>
      <c r="O501">
        <f>C501&amp;"_"&amp;TEXT(N501,"yyyy-mm-dd")</f>
        <v/>
      </c>
      <c r="P501">
        <f>IFERROR(VLOOKUP(O501,Merchant_Day_Analysis!$A$5:$G$447,7,FALSE),"Not found")</f>
        <v/>
      </c>
    </row>
    <row r="502">
      <c r="A502" t="inlineStr">
        <is>
          <t>TXN200000</t>
        </is>
      </c>
      <c r="B502" t="n">
        <v>351</v>
      </c>
      <c r="C502" t="n">
        <v>7</v>
      </c>
      <c r="D502" s="6" t="n">
        <v>46052.25</v>
      </c>
      <c r="E502" t="n">
        <v>1999</v>
      </c>
      <c r="F502" t="inlineStr">
        <is>
          <t>Card</t>
        </is>
      </c>
      <c r="G502" t="inlineStr">
        <is>
          <t>chargeback</t>
        </is>
      </c>
      <c r="H502" t="n">
        <v>79</v>
      </c>
      <c r="I502">
        <f>IFERROR(VLOOKUP(C502,Merchants!$A$2:$D$41,2,FALSE),"Merchant not found")</f>
        <v/>
      </c>
      <c r="J502">
        <f>IFERROR(VLOOKUP(C502,Merchants!$A$2:$D$41,3,FALSE),"Merchant not found")</f>
        <v/>
      </c>
      <c r="K502">
        <f>IFERROR(VLOOKUP(C502,Merchants!$A$2:$D$41,4,FALSE),"Merchant not found")</f>
        <v/>
      </c>
      <c r="L502" s="4">
        <f>HLOOKUP(F502,Fee_Tiers!$B$2:$E$3,2,FALSE)</f>
        <v/>
      </c>
      <c r="M502">
        <f>E502*L502</f>
        <v/>
      </c>
      <c r="N502" s="5" t="n">
        <v>46052</v>
      </c>
      <c r="O502">
        <f>C502&amp;"_"&amp;TEXT(N502,"yyyy-mm-dd")</f>
        <v/>
      </c>
      <c r="P502">
        <f>IFERROR(VLOOKUP(O502,Merchant_Day_Analysis!$A$5:$G$447,7,FALSE),"Not found")</f>
        <v/>
      </c>
    </row>
    <row r="503">
      <c r="A503" t="inlineStr">
        <is>
          <t>TXN200001</t>
        </is>
      </c>
      <c r="B503" t="n">
        <v>352</v>
      </c>
      <c r="C503" t="n">
        <v>40</v>
      </c>
      <c r="D503" s="6" t="n">
        <v>46033.5</v>
      </c>
      <c r="E503" t="n">
        <v>4999</v>
      </c>
      <c r="F503" t="inlineStr">
        <is>
          <t>Card</t>
        </is>
      </c>
      <c r="G503" t="inlineStr">
        <is>
          <t>chargeback</t>
        </is>
      </c>
      <c r="H503" t="n">
        <v>95</v>
      </c>
      <c r="I503">
        <f>IFERROR(VLOOKUP(C503,Merchants!$A$2:$D$41,2,FALSE),"Merchant not found")</f>
        <v/>
      </c>
      <c r="J503">
        <f>IFERROR(VLOOKUP(C503,Merchants!$A$2:$D$41,3,FALSE),"Merchant not found")</f>
        <v/>
      </c>
      <c r="K503">
        <f>IFERROR(VLOOKUP(C503,Merchants!$A$2:$D$41,4,FALSE),"Merchant not found")</f>
        <v/>
      </c>
      <c r="L503" s="4">
        <f>HLOOKUP(F503,Fee_Tiers!$B$2:$E$3,2,FALSE)</f>
        <v/>
      </c>
      <c r="M503">
        <f>E503*L503</f>
        <v/>
      </c>
      <c r="N503" s="5" t="n">
        <v>46033</v>
      </c>
      <c r="O503">
        <f>C503&amp;"_"&amp;TEXT(N503,"yyyy-mm-dd")</f>
        <v/>
      </c>
      <c r="P503">
        <f>IFERROR(VLOOKUP(O503,Merchant_Day_Analysis!$A$5:$G$447,7,FALSE),"Not found")</f>
        <v/>
      </c>
    </row>
    <row r="504">
      <c r="A504" t="inlineStr">
        <is>
          <t>TXN200002</t>
        </is>
      </c>
      <c r="B504" t="n">
        <v>353</v>
      </c>
      <c r="C504" t="n">
        <v>28</v>
      </c>
      <c r="D504" s="6" t="n">
        <v>46043.58333333334</v>
      </c>
      <c r="E504" t="n">
        <v>1999</v>
      </c>
      <c r="F504" t="inlineStr">
        <is>
          <t>Card</t>
        </is>
      </c>
      <c r="G504" t="inlineStr">
        <is>
          <t>chargeback</t>
        </is>
      </c>
      <c r="H504" t="n">
        <v>79</v>
      </c>
      <c r="I504">
        <f>IFERROR(VLOOKUP(C504,Merchants!$A$2:$D$41,2,FALSE),"Merchant not found")</f>
        <v/>
      </c>
      <c r="J504">
        <f>IFERROR(VLOOKUP(C504,Merchants!$A$2:$D$41,3,FALSE),"Merchant not found")</f>
        <v/>
      </c>
      <c r="K504">
        <f>IFERROR(VLOOKUP(C504,Merchants!$A$2:$D$41,4,FALSE),"Merchant not found")</f>
        <v/>
      </c>
      <c r="L504" s="4">
        <f>HLOOKUP(F504,Fee_Tiers!$B$2:$E$3,2,FALSE)</f>
        <v/>
      </c>
      <c r="M504">
        <f>E504*L504</f>
        <v/>
      </c>
      <c r="N504" s="5" t="n">
        <v>46043</v>
      </c>
      <c r="O504">
        <f>C504&amp;"_"&amp;TEXT(N504,"yyyy-mm-dd")</f>
        <v/>
      </c>
      <c r="P504">
        <f>IFERROR(VLOOKUP(O504,Merchant_Day_Analysis!$A$5:$G$447,7,FALSE),"Not found")</f>
        <v/>
      </c>
    </row>
    <row r="505">
      <c r="A505" t="inlineStr">
        <is>
          <t>TXN200003</t>
        </is>
      </c>
      <c r="B505" t="n">
        <v>354</v>
      </c>
      <c r="C505" t="n">
        <v>13</v>
      </c>
      <c r="D505" s="6" t="n">
        <v>46043.79166666666</v>
      </c>
      <c r="E505" t="n">
        <v>4999</v>
      </c>
      <c r="F505" t="inlineStr">
        <is>
          <t>Card</t>
        </is>
      </c>
      <c r="G505" t="inlineStr">
        <is>
          <t>chargeback</t>
        </is>
      </c>
      <c r="H505" t="n">
        <v>80</v>
      </c>
      <c r="I505">
        <f>IFERROR(VLOOKUP(C505,Merchants!$A$2:$D$41,2,FALSE),"Merchant not found")</f>
        <v/>
      </c>
      <c r="J505">
        <f>IFERROR(VLOOKUP(C505,Merchants!$A$2:$D$41,3,FALSE),"Merchant not found")</f>
        <v/>
      </c>
      <c r="K505">
        <f>IFERROR(VLOOKUP(C505,Merchants!$A$2:$D$41,4,FALSE),"Merchant not found")</f>
        <v/>
      </c>
      <c r="L505" s="4">
        <f>HLOOKUP(F505,Fee_Tiers!$B$2:$E$3,2,FALSE)</f>
        <v/>
      </c>
      <c r="M505">
        <f>E505*L505</f>
        <v/>
      </c>
      <c r="N505" s="5" t="n">
        <v>46043</v>
      </c>
      <c r="O505">
        <f>C505&amp;"_"&amp;TEXT(N505,"yyyy-mm-dd")</f>
        <v/>
      </c>
      <c r="P505">
        <f>IFERROR(VLOOKUP(O505,Merchant_Day_Analysis!$A$5:$G$447,7,FALSE),"Not found")</f>
        <v/>
      </c>
    </row>
    <row r="506">
      <c r="A506" t="inlineStr">
        <is>
          <t>TXN200004</t>
        </is>
      </c>
      <c r="B506" t="n">
        <v>355</v>
      </c>
      <c r="C506" t="n">
        <v>19</v>
      </c>
      <c r="D506" s="6" t="n">
        <v>46038.5</v>
      </c>
      <c r="E506" t="n">
        <v>4999</v>
      </c>
      <c r="F506" t="inlineStr">
        <is>
          <t>Card</t>
        </is>
      </c>
      <c r="G506" t="inlineStr">
        <is>
          <t>chargeback</t>
        </is>
      </c>
      <c r="H506" t="n">
        <v>100</v>
      </c>
      <c r="I506">
        <f>IFERROR(VLOOKUP(C506,Merchants!$A$2:$D$41,2,FALSE),"Merchant not found")</f>
        <v/>
      </c>
      <c r="J506">
        <f>IFERROR(VLOOKUP(C506,Merchants!$A$2:$D$41,3,FALSE),"Merchant not found")</f>
        <v/>
      </c>
      <c r="K506">
        <f>IFERROR(VLOOKUP(C506,Merchants!$A$2:$D$41,4,FALSE),"Merchant not found")</f>
        <v/>
      </c>
      <c r="L506" s="4">
        <f>HLOOKUP(F506,Fee_Tiers!$B$2:$E$3,2,FALSE)</f>
        <v/>
      </c>
      <c r="M506">
        <f>E506*L506</f>
        <v/>
      </c>
      <c r="N506" s="5" t="n">
        <v>46038</v>
      </c>
      <c r="O506">
        <f>C506&amp;"_"&amp;TEXT(N506,"yyyy-mm-dd")</f>
        <v/>
      </c>
      <c r="P506">
        <f>IFERROR(VLOOKUP(O506,Merchant_Day_Analysis!$A$5:$G$447,7,FALSE),"Not found")</f>
        <v/>
      </c>
    </row>
    <row r="507">
      <c r="A507" t="inlineStr">
        <is>
          <t>TXN200005</t>
        </is>
      </c>
      <c r="B507" t="n">
        <v>356</v>
      </c>
      <c r="C507" t="n">
        <v>25</v>
      </c>
      <c r="D507" s="6" t="n">
        <v>46051.29166666666</v>
      </c>
      <c r="E507" t="n">
        <v>2999</v>
      </c>
      <c r="F507" t="inlineStr">
        <is>
          <t>Card</t>
        </is>
      </c>
      <c r="G507" t="inlineStr">
        <is>
          <t>chargeback</t>
        </is>
      </c>
      <c r="H507" t="n">
        <v>96</v>
      </c>
      <c r="I507">
        <f>IFERROR(VLOOKUP(C507,Merchants!$A$2:$D$41,2,FALSE),"Merchant not found")</f>
        <v/>
      </c>
      <c r="J507">
        <f>IFERROR(VLOOKUP(C507,Merchants!$A$2:$D$41,3,FALSE),"Merchant not found")</f>
        <v/>
      </c>
      <c r="K507">
        <f>IFERROR(VLOOKUP(C507,Merchants!$A$2:$D$41,4,FALSE),"Merchant not found")</f>
        <v/>
      </c>
      <c r="L507" s="4">
        <f>HLOOKUP(F507,Fee_Tiers!$B$2:$E$3,2,FALSE)</f>
        <v/>
      </c>
      <c r="M507">
        <f>E507*L507</f>
        <v/>
      </c>
      <c r="N507" s="5" t="n">
        <v>46051</v>
      </c>
      <c r="O507">
        <f>C507&amp;"_"&amp;TEXT(N507,"yyyy-mm-dd")</f>
        <v/>
      </c>
      <c r="P507">
        <f>IFERROR(VLOOKUP(O507,Merchant_Day_Analysis!$A$5:$G$447,7,FALSE),"Not found")</f>
        <v/>
      </c>
    </row>
    <row r="508">
      <c r="A508" t="inlineStr">
        <is>
          <t>TXN200006</t>
        </is>
      </c>
      <c r="B508" t="n">
        <v>357</v>
      </c>
      <c r="C508" t="n">
        <v>37</v>
      </c>
      <c r="D508" s="6" t="n">
        <v>46045.45833333334</v>
      </c>
      <c r="E508" t="n">
        <v>1999</v>
      </c>
      <c r="F508" t="inlineStr">
        <is>
          <t>Card</t>
        </is>
      </c>
      <c r="G508" t="inlineStr">
        <is>
          <t>chargeback</t>
        </is>
      </c>
      <c r="H508" t="n">
        <v>88</v>
      </c>
      <c r="I508">
        <f>IFERROR(VLOOKUP(C508,Merchants!$A$2:$D$41,2,FALSE),"Merchant not found")</f>
        <v/>
      </c>
      <c r="J508">
        <f>IFERROR(VLOOKUP(C508,Merchants!$A$2:$D$41,3,FALSE),"Merchant not found")</f>
        <v/>
      </c>
      <c r="K508">
        <f>IFERROR(VLOOKUP(C508,Merchants!$A$2:$D$41,4,FALSE),"Merchant not found")</f>
        <v/>
      </c>
      <c r="L508" s="4">
        <f>HLOOKUP(F508,Fee_Tiers!$B$2:$E$3,2,FALSE)</f>
        <v/>
      </c>
      <c r="M508">
        <f>E508*L508</f>
        <v/>
      </c>
      <c r="N508" s="5" t="n">
        <v>46045</v>
      </c>
      <c r="O508">
        <f>C508&amp;"_"&amp;TEXT(N508,"yyyy-mm-dd")</f>
        <v/>
      </c>
      <c r="P508">
        <f>IFERROR(VLOOKUP(O508,Merchant_Day_Analysis!$A$5:$G$447,7,FALSE),"Not found")</f>
        <v/>
      </c>
    </row>
    <row r="509">
      <c r="A509" t="inlineStr">
        <is>
          <t>TXN200007</t>
        </is>
      </c>
      <c r="B509" t="n">
        <v>358</v>
      </c>
      <c r="C509" t="n">
        <v>36</v>
      </c>
      <c r="D509" s="6" t="n">
        <v>46050.20833333334</v>
      </c>
      <c r="E509" t="n">
        <v>999</v>
      </c>
      <c r="F509" t="inlineStr">
        <is>
          <t>Card</t>
        </is>
      </c>
      <c r="G509" t="inlineStr">
        <is>
          <t>chargeback</t>
        </is>
      </c>
      <c r="H509" t="n">
        <v>100</v>
      </c>
      <c r="I509">
        <f>IFERROR(VLOOKUP(C509,Merchants!$A$2:$D$41,2,FALSE),"Merchant not found")</f>
        <v/>
      </c>
      <c r="J509">
        <f>IFERROR(VLOOKUP(C509,Merchants!$A$2:$D$41,3,FALSE),"Merchant not found")</f>
        <v/>
      </c>
      <c r="K509">
        <f>IFERROR(VLOOKUP(C509,Merchants!$A$2:$D$41,4,FALSE),"Merchant not found")</f>
        <v/>
      </c>
      <c r="L509" s="4">
        <f>HLOOKUP(F509,Fee_Tiers!$B$2:$E$3,2,FALSE)</f>
        <v/>
      </c>
      <c r="M509">
        <f>E509*L509</f>
        <v/>
      </c>
      <c r="N509" s="5" t="n">
        <v>46050</v>
      </c>
      <c r="O509">
        <f>C509&amp;"_"&amp;TEXT(N509,"yyyy-mm-dd")</f>
        <v/>
      </c>
      <c r="P509">
        <f>IFERROR(VLOOKUP(O509,Merchant_Day_Analysis!$A$5:$G$447,7,FALSE),"Not found")</f>
        <v/>
      </c>
    </row>
    <row r="510">
      <c r="A510" t="inlineStr">
        <is>
          <t>TXN200008</t>
        </is>
      </c>
      <c r="B510" t="n">
        <v>359</v>
      </c>
      <c r="C510" t="n">
        <v>29</v>
      </c>
      <c r="D510" s="6" t="n">
        <v>46047.91666666666</v>
      </c>
      <c r="E510" t="n">
        <v>2999</v>
      </c>
      <c r="F510" t="inlineStr">
        <is>
          <t>Card</t>
        </is>
      </c>
      <c r="G510" t="inlineStr">
        <is>
          <t>chargeback</t>
        </is>
      </c>
      <c r="H510" t="n">
        <v>96</v>
      </c>
      <c r="I510">
        <f>IFERROR(VLOOKUP(C510,Merchants!$A$2:$D$41,2,FALSE),"Merchant not found")</f>
        <v/>
      </c>
      <c r="J510">
        <f>IFERROR(VLOOKUP(C510,Merchants!$A$2:$D$41,3,FALSE),"Merchant not found")</f>
        <v/>
      </c>
      <c r="K510">
        <f>IFERROR(VLOOKUP(C510,Merchants!$A$2:$D$41,4,FALSE),"Merchant not found")</f>
        <v/>
      </c>
      <c r="L510" s="4">
        <f>HLOOKUP(F510,Fee_Tiers!$B$2:$E$3,2,FALSE)</f>
        <v/>
      </c>
      <c r="M510">
        <f>E510*L510</f>
        <v/>
      </c>
      <c r="N510" s="5" t="n">
        <v>46047</v>
      </c>
      <c r="O510">
        <f>C510&amp;"_"&amp;TEXT(N510,"yyyy-mm-dd")</f>
        <v/>
      </c>
      <c r="P510">
        <f>IFERROR(VLOOKUP(O510,Merchant_Day_Analysis!$A$5:$G$447,7,FALSE),"Not found")</f>
        <v/>
      </c>
    </row>
    <row r="511">
      <c r="A511" t="inlineStr">
        <is>
          <t>TXN200009</t>
        </is>
      </c>
      <c r="B511" t="n">
        <v>360</v>
      </c>
      <c r="C511" t="n">
        <v>32</v>
      </c>
      <c r="D511" s="6" t="n">
        <v>46035.54166666666</v>
      </c>
      <c r="E511" t="n">
        <v>1999</v>
      </c>
      <c r="F511" t="inlineStr">
        <is>
          <t>Card</t>
        </is>
      </c>
      <c r="G511" t="inlineStr">
        <is>
          <t>chargeback</t>
        </is>
      </c>
      <c r="H511" t="n">
        <v>90</v>
      </c>
      <c r="I511">
        <f>IFERROR(VLOOKUP(C511,Merchants!$A$2:$D$41,2,FALSE),"Merchant not found")</f>
        <v/>
      </c>
      <c r="J511">
        <f>IFERROR(VLOOKUP(C511,Merchants!$A$2:$D$41,3,FALSE),"Merchant not found")</f>
        <v/>
      </c>
      <c r="K511">
        <f>IFERROR(VLOOKUP(C511,Merchants!$A$2:$D$41,4,FALSE),"Merchant not found")</f>
        <v/>
      </c>
      <c r="L511" s="4">
        <f>HLOOKUP(F511,Fee_Tiers!$B$2:$E$3,2,FALSE)</f>
        <v/>
      </c>
      <c r="M511">
        <f>E511*L511</f>
        <v/>
      </c>
      <c r="N511" s="5" t="n">
        <v>46035</v>
      </c>
      <c r="O511">
        <f>C511&amp;"_"&amp;TEXT(N511,"yyyy-mm-dd")</f>
        <v/>
      </c>
      <c r="P511">
        <f>IFERROR(VLOOKUP(O511,Merchant_Day_Analysis!$A$5:$G$447,7,FALSE),"Not found")</f>
        <v/>
      </c>
    </row>
    <row r="512">
      <c r="A512" t="inlineStr">
        <is>
          <t>TXN200010</t>
        </is>
      </c>
      <c r="B512" t="n">
        <v>361</v>
      </c>
      <c r="C512" t="n">
        <v>10</v>
      </c>
      <c r="D512" s="6" t="n">
        <v>46042.29166666666</v>
      </c>
      <c r="E512" t="n">
        <v>4999</v>
      </c>
      <c r="F512" t="inlineStr">
        <is>
          <t>Card</t>
        </is>
      </c>
      <c r="G512" t="inlineStr">
        <is>
          <t>chargeback</t>
        </is>
      </c>
      <c r="H512" t="n">
        <v>95</v>
      </c>
      <c r="I512">
        <f>IFERROR(VLOOKUP(C512,Merchants!$A$2:$D$41,2,FALSE),"Merchant not found")</f>
        <v/>
      </c>
      <c r="J512">
        <f>IFERROR(VLOOKUP(C512,Merchants!$A$2:$D$41,3,FALSE),"Merchant not found")</f>
        <v/>
      </c>
      <c r="K512">
        <f>IFERROR(VLOOKUP(C512,Merchants!$A$2:$D$41,4,FALSE),"Merchant not found")</f>
        <v/>
      </c>
      <c r="L512" s="4">
        <f>HLOOKUP(F512,Fee_Tiers!$B$2:$E$3,2,FALSE)</f>
        <v/>
      </c>
      <c r="M512">
        <f>E512*L512</f>
        <v/>
      </c>
      <c r="N512" s="5" t="n">
        <v>46042</v>
      </c>
      <c r="O512">
        <f>C512&amp;"_"&amp;TEXT(N512,"yyyy-mm-dd")</f>
        <v/>
      </c>
      <c r="P512">
        <f>IFERROR(VLOOKUP(O512,Merchant_Day_Analysis!$A$5:$G$447,7,FALSE),"Not found")</f>
        <v/>
      </c>
    </row>
    <row r="513">
      <c r="A513" t="inlineStr">
        <is>
          <t>TXN200011</t>
        </is>
      </c>
      <c r="B513" t="n">
        <v>362</v>
      </c>
      <c r="C513" t="n">
        <v>39</v>
      </c>
      <c r="D513" s="6" t="n">
        <v>46045.08333333334</v>
      </c>
      <c r="E513" t="n">
        <v>4999</v>
      </c>
      <c r="F513" t="inlineStr">
        <is>
          <t>Card</t>
        </is>
      </c>
      <c r="G513" t="inlineStr">
        <is>
          <t>chargeback</t>
        </is>
      </c>
      <c r="H513" t="n">
        <v>88</v>
      </c>
      <c r="I513">
        <f>IFERROR(VLOOKUP(C513,Merchants!$A$2:$D$41,2,FALSE),"Merchant not found")</f>
        <v/>
      </c>
      <c r="J513">
        <f>IFERROR(VLOOKUP(C513,Merchants!$A$2:$D$41,3,FALSE),"Merchant not found")</f>
        <v/>
      </c>
      <c r="K513">
        <f>IFERROR(VLOOKUP(C513,Merchants!$A$2:$D$41,4,FALSE),"Merchant not found")</f>
        <v/>
      </c>
      <c r="L513" s="4">
        <f>HLOOKUP(F513,Fee_Tiers!$B$2:$E$3,2,FALSE)</f>
        <v/>
      </c>
      <c r="M513">
        <f>E513*L513</f>
        <v/>
      </c>
      <c r="N513" s="5" t="n">
        <v>46045</v>
      </c>
      <c r="O513">
        <f>C513&amp;"_"&amp;TEXT(N513,"yyyy-mm-dd")</f>
        <v/>
      </c>
      <c r="P513">
        <f>IFERROR(VLOOKUP(O513,Merchant_Day_Analysis!$A$5:$G$447,7,FALSE),"Not found")</f>
        <v/>
      </c>
    </row>
    <row r="514">
      <c r="A514" t="inlineStr">
        <is>
          <t>TXN200012</t>
        </is>
      </c>
      <c r="B514" t="n">
        <v>363</v>
      </c>
      <c r="C514" t="n">
        <v>27</v>
      </c>
      <c r="D514" s="6" t="n">
        <v>46045.70833333334</v>
      </c>
      <c r="E514" t="n">
        <v>999</v>
      </c>
      <c r="F514" t="inlineStr">
        <is>
          <t>Card</t>
        </is>
      </c>
      <c r="G514" t="inlineStr">
        <is>
          <t>chargeback</t>
        </is>
      </c>
      <c r="H514" t="n">
        <v>95</v>
      </c>
      <c r="I514">
        <f>IFERROR(VLOOKUP(C514,Merchants!$A$2:$D$41,2,FALSE),"Merchant not found")</f>
        <v/>
      </c>
      <c r="J514">
        <f>IFERROR(VLOOKUP(C514,Merchants!$A$2:$D$41,3,FALSE),"Merchant not found")</f>
        <v/>
      </c>
      <c r="K514">
        <f>IFERROR(VLOOKUP(C514,Merchants!$A$2:$D$41,4,FALSE),"Merchant not found")</f>
        <v/>
      </c>
      <c r="L514" s="4">
        <f>HLOOKUP(F514,Fee_Tiers!$B$2:$E$3,2,FALSE)</f>
        <v/>
      </c>
      <c r="M514">
        <f>E514*L514</f>
        <v/>
      </c>
      <c r="N514" s="5" t="n">
        <v>46045</v>
      </c>
      <c r="O514">
        <f>C514&amp;"_"&amp;TEXT(N514,"yyyy-mm-dd")</f>
        <v/>
      </c>
      <c r="P514">
        <f>IFERROR(VLOOKUP(O514,Merchant_Day_Analysis!$A$5:$G$447,7,FALSE),"Not found")</f>
        <v/>
      </c>
    </row>
    <row r="515">
      <c r="A515" t="inlineStr">
        <is>
          <t>TXN200013</t>
        </is>
      </c>
      <c r="B515" t="n">
        <v>364</v>
      </c>
      <c r="C515" t="n">
        <v>39</v>
      </c>
      <c r="D515" s="6" t="n">
        <v>46044.91666666666</v>
      </c>
      <c r="E515" t="n">
        <v>999</v>
      </c>
      <c r="F515" t="inlineStr">
        <is>
          <t>Card</t>
        </is>
      </c>
      <c r="G515" t="inlineStr">
        <is>
          <t>chargeback</t>
        </is>
      </c>
      <c r="H515" t="n">
        <v>73</v>
      </c>
      <c r="I515">
        <f>IFERROR(VLOOKUP(C515,Merchants!$A$2:$D$41,2,FALSE),"Merchant not found")</f>
        <v/>
      </c>
      <c r="J515">
        <f>IFERROR(VLOOKUP(C515,Merchants!$A$2:$D$41,3,FALSE),"Merchant not found")</f>
        <v/>
      </c>
      <c r="K515">
        <f>IFERROR(VLOOKUP(C515,Merchants!$A$2:$D$41,4,FALSE),"Merchant not found")</f>
        <v/>
      </c>
      <c r="L515" s="4">
        <f>HLOOKUP(F515,Fee_Tiers!$B$2:$E$3,2,FALSE)</f>
        <v/>
      </c>
      <c r="M515">
        <f>E515*L515</f>
        <v/>
      </c>
      <c r="N515" s="5" t="n">
        <v>46044</v>
      </c>
      <c r="O515">
        <f>C515&amp;"_"&amp;TEXT(N515,"yyyy-mm-dd")</f>
        <v/>
      </c>
      <c r="P515">
        <f>IFERROR(VLOOKUP(O515,Merchant_Day_Analysis!$A$5:$G$447,7,FALSE),"Not found")</f>
        <v/>
      </c>
    </row>
    <row r="516">
      <c r="A516" t="inlineStr">
        <is>
          <t>TXN200014</t>
        </is>
      </c>
      <c r="B516" t="n">
        <v>365</v>
      </c>
      <c r="C516" t="n">
        <v>23</v>
      </c>
      <c r="D516" s="6" t="n">
        <v>46040.875</v>
      </c>
      <c r="E516" t="n">
        <v>1999</v>
      </c>
      <c r="F516" t="inlineStr">
        <is>
          <t>Card</t>
        </is>
      </c>
      <c r="G516" t="inlineStr">
        <is>
          <t>chargeback</t>
        </is>
      </c>
      <c r="H516" t="n">
        <v>90</v>
      </c>
      <c r="I516">
        <f>IFERROR(VLOOKUP(C516,Merchants!$A$2:$D$41,2,FALSE),"Merchant not found")</f>
        <v/>
      </c>
      <c r="J516">
        <f>IFERROR(VLOOKUP(C516,Merchants!$A$2:$D$41,3,FALSE),"Merchant not found")</f>
        <v/>
      </c>
      <c r="K516">
        <f>IFERROR(VLOOKUP(C516,Merchants!$A$2:$D$41,4,FALSE),"Merchant not found")</f>
        <v/>
      </c>
      <c r="L516" s="4">
        <f>HLOOKUP(F516,Fee_Tiers!$B$2:$E$3,2,FALSE)</f>
        <v/>
      </c>
      <c r="M516">
        <f>E516*L516</f>
        <v/>
      </c>
      <c r="N516" s="5" t="n">
        <v>46040</v>
      </c>
      <c r="O516">
        <f>C516&amp;"_"&amp;TEXT(N516,"yyyy-mm-dd")</f>
        <v/>
      </c>
      <c r="P516">
        <f>IFERROR(VLOOKUP(O516,Merchant_Day_Analysis!$A$5:$G$447,7,FALSE),"Not found")</f>
        <v/>
      </c>
    </row>
    <row r="517">
      <c r="A517" t="inlineStr">
        <is>
          <t>TXN300000</t>
        </is>
      </c>
      <c r="B517" t="n">
        <v>314</v>
      </c>
      <c r="C517" t="n">
        <v>26</v>
      </c>
      <c r="D517" s="6" t="n">
        <v>46024.75</v>
      </c>
      <c r="E517" t="n">
        <v>399</v>
      </c>
      <c r="F517" t="inlineStr">
        <is>
          <t>Card</t>
        </is>
      </c>
      <c r="G517" t="inlineStr">
        <is>
          <t>failed</t>
        </is>
      </c>
      <c r="H517" t="n">
        <v>87</v>
      </c>
      <c r="I517">
        <f>IFERROR(VLOOKUP(C517,Merchants!$A$2:$D$41,2,FALSE),"Merchant not found")</f>
        <v/>
      </c>
      <c r="J517">
        <f>IFERROR(VLOOKUP(C517,Merchants!$A$2:$D$41,3,FALSE),"Merchant not found")</f>
        <v/>
      </c>
      <c r="K517">
        <f>IFERROR(VLOOKUP(C517,Merchants!$A$2:$D$41,4,FALSE),"Merchant not found")</f>
        <v/>
      </c>
      <c r="L517" s="4">
        <f>HLOOKUP(F517,Fee_Tiers!$B$2:$E$3,2,FALSE)</f>
        <v/>
      </c>
      <c r="M517">
        <f>E517*L517</f>
        <v/>
      </c>
      <c r="N517" s="5" t="n">
        <v>46024</v>
      </c>
      <c r="O517">
        <f>C517&amp;"_"&amp;TEXT(N517,"yyyy-mm-dd")</f>
        <v/>
      </c>
      <c r="P517">
        <f>IFERROR(VLOOKUP(O517,Merchant_Day_Analysis!$A$5:$G$447,7,FALSE),"Not found")</f>
        <v/>
      </c>
    </row>
    <row r="518">
      <c r="A518" t="inlineStr">
        <is>
          <t>TXN300001</t>
        </is>
      </c>
      <c r="B518" t="n">
        <v>314</v>
      </c>
      <c r="C518" t="n">
        <v>7</v>
      </c>
      <c r="D518" s="6" t="n">
        <v>46024.75069444445</v>
      </c>
      <c r="E518" t="n">
        <v>299</v>
      </c>
      <c r="F518" t="inlineStr">
        <is>
          <t>Card</t>
        </is>
      </c>
      <c r="G518" t="inlineStr">
        <is>
          <t>failed</t>
        </is>
      </c>
      <c r="H518" t="n">
        <v>66</v>
      </c>
      <c r="I518">
        <f>IFERROR(VLOOKUP(C518,Merchants!$A$2:$D$41,2,FALSE),"Merchant not found")</f>
        <v/>
      </c>
      <c r="J518">
        <f>IFERROR(VLOOKUP(C518,Merchants!$A$2:$D$41,3,FALSE),"Merchant not found")</f>
        <v/>
      </c>
      <c r="K518">
        <f>IFERROR(VLOOKUP(C518,Merchants!$A$2:$D$41,4,FALSE),"Merchant not found")</f>
        <v/>
      </c>
      <c r="L518" s="4">
        <f>HLOOKUP(F518,Fee_Tiers!$B$2:$E$3,2,FALSE)</f>
        <v/>
      </c>
      <c r="M518">
        <f>E518*L518</f>
        <v/>
      </c>
      <c r="N518" s="5" t="n">
        <v>46024</v>
      </c>
      <c r="O518">
        <f>C518&amp;"_"&amp;TEXT(N518,"yyyy-mm-dd")</f>
        <v/>
      </c>
      <c r="P518">
        <f>IFERROR(VLOOKUP(O518,Merchant_Day_Analysis!$A$5:$G$447,7,FALSE),"Not found")</f>
        <v/>
      </c>
    </row>
    <row r="519">
      <c r="A519" t="inlineStr">
        <is>
          <t>TXN300002</t>
        </is>
      </c>
      <c r="B519" t="n">
        <v>314</v>
      </c>
      <c r="C519" t="n">
        <v>17</v>
      </c>
      <c r="D519" s="6" t="n">
        <v>46024.75138888889</v>
      </c>
      <c r="E519" t="n">
        <v>299</v>
      </c>
      <c r="F519" t="inlineStr">
        <is>
          <t>Card</t>
        </is>
      </c>
      <c r="G519" t="inlineStr">
        <is>
          <t>failed</t>
        </is>
      </c>
      <c r="H519" t="n">
        <v>92</v>
      </c>
      <c r="I519">
        <f>IFERROR(VLOOKUP(C519,Merchants!$A$2:$D$41,2,FALSE),"Merchant not found")</f>
        <v/>
      </c>
      <c r="J519">
        <f>IFERROR(VLOOKUP(C519,Merchants!$A$2:$D$41,3,FALSE),"Merchant not found")</f>
        <v/>
      </c>
      <c r="K519">
        <f>IFERROR(VLOOKUP(C519,Merchants!$A$2:$D$41,4,FALSE),"Merchant not found")</f>
        <v/>
      </c>
      <c r="L519" s="4">
        <f>HLOOKUP(F519,Fee_Tiers!$B$2:$E$3,2,FALSE)</f>
        <v/>
      </c>
      <c r="M519">
        <f>E519*L519</f>
        <v/>
      </c>
      <c r="N519" s="5" t="n">
        <v>46024</v>
      </c>
      <c r="O519">
        <f>C519&amp;"_"&amp;TEXT(N519,"yyyy-mm-dd")</f>
        <v/>
      </c>
      <c r="P519">
        <f>IFERROR(VLOOKUP(O519,Merchant_Day_Analysis!$A$5:$G$447,7,FALSE),"Not found")</f>
        <v/>
      </c>
    </row>
    <row r="520">
      <c r="A520" t="inlineStr">
        <is>
          <t>TXN300003</t>
        </is>
      </c>
      <c r="B520" t="n">
        <v>314</v>
      </c>
      <c r="C520" t="n">
        <v>34</v>
      </c>
      <c r="D520" s="6" t="n">
        <v>46024.75208333333</v>
      </c>
      <c r="E520" t="n">
        <v>499</v>
      </c>
      <c r="F520" t="inlineStr">
        <is>
          <t>Card</t>
        </is>
      </c>
      <c r="G520" t="inlineStr">
        <is>
          <t>captured</t>
        </is>
      </c>
      <c r="H520" t="n">
        <v>74</v>
      </c>
      <c r="I520">
        <f>IFERROR(VLOOKUP(C520,Merchants!$A$2:$D$41,2,FALSE),"Merchant not found")</f>
        <v/>
      </c>
      <c r="J520">
        <f>IFERROR(VLOOKUP(C520,Merchants!$A$2:$D$41,3,FALSE),"Merchant not found")</f>
        <v/>
      </c>
      <c r="K520">
        <f>IFERROR(VLOOKUP(C520,Merchants!$A$2:$D$41,4,FALSE),"Merchant not found")</f>
        <v/>
      </c>
      <c r="L520" s="4">
        <f>HLOOKUP(F520,Fee_Tiers!$B$2:$E$3,2,FALSE)</f>
        <v/>
      </c>
      <c r="M520">
        <f>E520*L520</f>
        <v/>
      </c>
      <c r="N520" s="5" t="n">
        <v>46024</v>
      </c>
      <c r="O520">
        <f>C520&amp;"_"&amp;TEXT(N520,"yyyy-mm-dd")</f>
        <v/>
      </c>
      <c r="P520">
        <f>IFERROR(VLOOKUP(O520,Merchant_Day_Analysis!$A$5:$G$447,7,FALSE),"Not found")</f>
        <v/>
      </c>
    </row>
    <row r="521">
      <c r="A521" t="inlineStr">
        <is>
          <t>TXN300004</t>
        </is>
      </c>
      <c r="B521" t="n">
        <v>229</v>
      </c>
      <c r="C521" t="n">
        <v>30</v>
      </c>
      <c r="D521" s="6" t="n">
        <v>46034.5</v>
      </c>
      <c r="E521" t="n">
        <v>499</v>
      </c>
      <c r="F521" t="inlineStr">
        <is>
          <t>Card</t>
        </is>
      </c>
      <c r="G521" t="inlineStr">
        <is>
          <t>failed</t>
        </is>
      </c>
      <c r="H521" t="n">
        <v>92</v>
      </c>
      <c r="I521">
        <f>IFERROR(VLOOKUP(C521,Merchants!$A$2:$D$41,2,FALSE),"Merchant not found")</f>
        <v/>
      </c>
      <c r="J521">
        <f>IFERROR(VLOOKUP(C521,Merchants!$A$2:$D$41,3,FALSE),"Merchant not found")</f>
        <v/>
      </c>
      <c r="K521">
        <f>IFERROR(VLOOKUP(C521,Merchants!$A$2:$D$41,4,FALSE),"Merchant not found")</f>
        <v/>
      </c>
      <c r="L521" s="4">
        <f>HLOOKUP(F521,Fee_Tiers!$B$2:$E$3,2,FALSE)</f>
        <v/>
      </c>
      <c r="M521">
        <f>E521*L521</f>
        <v/>
      </c>
      <c r="N521" s="5" t="n">
        <v>46034</v>
      </c>
      <c r="O521">
        <f>C521&amp;"_"&amp;TEXT(N521,"yyyy-mm-dd")</f>
        <v/>
      </c>
      <c r="P521">
        <f>IFERROR(VLOOKUP(O521,Merchant_Day_Analysis!$A$5:$G$447,7,FALSE),"Not found")</f>
        <v/>
      </c>
    </row>
    <row r="522">
      <c r="A522" t="inlineStr">
        <is>
          <t>TXN300005</t>
        </is>
      </c>
      <c r="B522" t="n">
        <v>229</v>
      </c>
      <c r="C522" t="n">
        <v>10</v>
      </c>
      <c r="D522" s="6" t="n">
        <v>46034.50069444445</v>
      </c>
      <c r="E522" t="n">
        <v>399</v>
      </c>
      <c r="F522" t="inlineStr">
        <is>
          <t>Card</t>
        </is>
      </c>
      <c r="G522" t="inlineStr">
        <is>
          <t>failed</t>
        </is>
      </c>
      <c r="H522" t="n">
        <v>61</v>
      </c>
      <c r="I522">
        <f>IFERROR(VLOOKUP(C522,Merchants!$A$2:$D$41,2,FALSE),"Merchant not found")</f>
        <v/>
      </c>
      <c r="J522">
        <f>IFERROR(VLOOKUP(C522,Merchants!$A$2:$D$41,3,FALSE),"Merchant not found")</f>
        <v/>
      </c>
      <c r="K522">
        <f>IFERROR(VLOOKUP(C522,Merchants!$A$2:$D$41,4,FALSE),"Merchant not found")</f>
        <v/>
      </c>
      <c r="L522" s="4">
        <f>HLOOKUP(F522,Fee_Tiers!$B$2:$E$3,2,FALSE)</f>
        <v/>
      </c>
      <c r="M522">
        <f>E522*L522</f>
        <v/>
      </c>
      <c r="N522" s="5" t="n">
        <v>46034</v>
      </c>
      <c r="O522">
        <f>C522&amp;"_"&amp;TEXT(N522,"yyyy-mm-dd")</f>
        <v/>
      </c>
      <c r="P522">
        <f>IFERROR(VLOOKUP(O522,Merchant_Day_Analysis!$A$5:$G$447,7,FALSE),"Not found")</f>
        <v/>
      </c>
    </row>
    <row r="523">
      <c r="A523" t="inlineStr">
        <is>
          <t>TXN300006</t>
        </is>
      </c>
      <c r="B523" t="n">
        <v>229</v>
      </c>
      <c r="C523" t="n">
        <v>31</v>
      </c>
      <c r="D523" s="6" t="n">
        <v>46034.50138888889</v>
      </c>
      <c r="E523" t="n">
        <v>299</v>
      </c>
      <c r="F523" t="inlineStr">
        <is>
          <t>Card</t>
        </is>
      </c>
      <c r="G523" t="inlineStr">
        <is>
          <t>failed</t>
        </is>
      </c>
      <c r="H523" t="n">
        <v>78</v>
      </c>
      <c r="I523">
        <f>IFERROR(VLOOKUP(C523,Merchants!$A$2:$D$41,2,FALSE),"Merchant not found")</f>
        <v/>
      </c>
      <c r="J523">
        <f>IFERROR(VLOOKUP(C523,Merchants!$A$2:$D$41,3,FALSE),"Merchant not found")</f>
        <v/>
      </c>
      <c r="K523">
        <f>IFERROR(VLOOKUP(C523,Merchants!$A$2:$D$41,4,FALSE),"Merchant not found")</f>
        <v/>
      </c>
      <c r="L523" s="4">
        <f>HLOOKUP(F523,Fee_Tiers!$B$2:$E$3,2,FALSE)</f>
        <v/>
      </c>
      <c r="M523">
        <f>E523*L523</f>
        <v/>
      </c>
      <c r="N523" s="5" t="n">
        <v>46034</v>
      </c>
      <c r="O523">
        <f>C523&amp;"_"&amp;TEXT(N523,"yyyy-mm-dd")</f>
        <v/>
      </c>
      <c r="P523">
        <f>IFERROR(VLOOKUP(O523,Merchant_Day_Analysis!$A$5:$G$447,7,FALSE),"Not found")</f>
        <v/>
      </c>
    </row>
    <row r="524">
      <c r="A524" t="inlineStr">
        <is>
          <t>TXN300007</t>
        </is>
      </c>
      <c r="B524" t="n">
        <v>229</v>
      </c>
      <c r="C524" t="n">
        <v>27</v>
      </c>
      <c r="D524" s="6" t="n">
        <v>46034.50208333333</v>
      </c>
      <c r="E524" t="n">
        <v>299</v>
      </c>
      <c r="F524" t="inlineStr">
        <is>
          <t>Card</t>
        </is>
      </c>
      <c r="G524" t="inlineStr">
        <is>
          <t>captured</t>
        </is>
      </c>
      <c r="H524" t="n">
        <v>67</v>
      </c>
      <c r="I524">
        <f>IFERROR(VLOOKUP(C524,Merchants!$A$2:$D$41,2,FALSE),"Merchant not found")</f>
        <v/>
      </c>
      <c r="J524">
        <f>IFERROR(VLOOKUP(C524,Merchants!$A$2:$D$41,3,FALSE),"Merchant not found")</f>
        <v/>
      </c>
      <c r="K524">
        <f>IFERROR(VLOOKUP(C524,Merchants!$A$2:$D$41,4,FALSE),"Merchant not found")</f>
        <v/>
      </c>
      <c r="L524" s="4">
        <f>HLOOKUP(F524,Fee_Tiers!$B$2:$E$3,2,FALSE)</f>
        <v/>
      </c>
      <c r="M524">
        <f>E524*L524</f>
        <v/>
      </c>
      <c r="N524" s="5" t="n">
        <v>46034</v>
      </c>
      <c r="O524">
        <f>C524&amp;"_"&amp;TEXT(N524,"yyyy-mm-dd")</f>
        <v/>
      </c>
      <c r="P524">
        <f>IFERROR(VLOOKUP(O524,Merchant_Day_Analysis!$A$5:$G$447,7,FALSE),"Not found")</f>
        <v/>
      </c>
    </row>
    <row r="525">
      <c r="A525" t="inlineStr">
        <is>
          <t>TXN300008</t>
        </is>
      </c>
      <c r="B525" t="n">
        <v>73</v>
      </c>
      <c r="C525" t="n">
        <v>22</v>
      </c>
      <c r="D525" s="6" t="n">
        <v>46034.375</v>
      </c>
      <c r="E525" t="n">
        <v>399</v>
      </c>
      <c r="F525" t="inlineStr">
        <is>
          <t>Card</t>
        </is>
      </c>
      <c r="G525" t="inlineStr">
        <is>
          <t>failed</t>
        </is>
      </c>
      <c r="H525" t="n">
        <v>73</v>
      </c>
      <c r="I525">
        <f>IFERROR(VLOOKUP(C525,Merchants!$A$2:$D$41,2,FALSE),"Merchant not found")</f>
        <v/>
      </c>
      <c r="J525">
        <f>IFERROR(VLOOKUP(C525,Merchants!$A$2:$D$41,3,FALSE),"Merchant not found")</f>
        <v/>
      </c>
      <c r="K525">
        <f>IFERROR(VLOOKUP(C525,Merchants!$A$2:$D$41,4,FALSE),"Merchant not found")</f>
        <v/>
      </c>
      <c r="L525" s="4">
        <f>HLOOKUP(F525,Fee_Tiers!$B$2:$E$3,2,FALSE)</f>
        <v/>
      </c>
      <c r="M525">
        <f>E525*L525</f>
        <v/>
      </c>
      <c r="N525" s="5" t="n">
        <v>46034</v>
      </c>
      <c r="O525">
        <f>C525&amp;"_"&amp;TEXT(N525,"yyyy-mm-dd")</f>
        <v/>
      </c>
      <c r="P525">
        <f>IFERROR(VLOOKUP(O525,Merchant_Day_Analysis!$A$5:$G$447,7,FALSE),"Not found")</f>
        <v/>
      </c>
    </row>
    <row r="526">
      <c r="A526" t="inlineStr">
        <is>
          <t>TXN300009</t>
        </is>
      </c>
      <c r="B526" t="n">
        <v>73</v>
      </c>
      <c r="C526" t="n">
        <v>34</v>
      </c>
      <c r="D526" s="6" t="n">
        <v>46034.37569444445</v>
      </c>
      <c r="E526" t="n">
        <v>399</v>
      </c>
      <c r="F526" t="inlineStr">
        <is>
          <t>Card</t>
        </is>
      </c>
      <c r="G526" t="inlineStr">
        <is>
          <t>failed</t>
        </is>
      </c>
      <c r="H526" t="n">
        <v>82</v>
      </c>
      <c r="I526">
        <f>IFERROR(VLOOKUP(C526,Merchants!$A$2:$D$41,2,FALSE),"Merchant not found")</f>
        <v/>
      </c>
      <c r="J526">
        <f>IFERROR(VLOOKUP(C526,Merchants!$A$2:$D$41,3,FALSE),"Merchant not found")</f>
        <v/>
      </c>
      <c r="K526">
        <f>IFERROR(VLOOKUP(C526,Merchants!$A$2:$D$41,4,FALSE),"Merchant not found")</f>
        <v/>
      </c>
      <c r="L526" s="4">
        <f>HLOOKUP(F526,Fee_Tiers!$B$2:$E$3,2,FALSE)</f>
        <v/>
      </c>
      <c r="M526">
        <f>E526*L526</f>
        <v/>
      </c>
      <c r="N526" s="5" t="n">
        <v>46034</v>
      </c>
      <c r="O526">
        <f>C526&amp;"_"&amp;TEXT(N526,"yyyy-mm-dd")</f>
        <v/>
      </c>
      <c r="P526">
        <f>IFERROR(VLOOKUP(O526,Merchant_Day_Analysis!$A$5:$G$447,7,FALSE),"Not found")</f>
        <v/>
      </c>
    </row>
    <row r="527">
      <c r="A527" t="inlineStr">
        <is>
          <t>TXN300010</t>
        </is>
      </c>
      <c r="B527" t="n">
        <v>73</v>
      </c>
      <c r="C527" t="n">
        <v>31</v>
      </c>
      <c r="D527" s="6" t="n">
        <v>46034.37638888889</v>
      </c>
      <c r="E527" t="n">
        <v>299</v>
      </c>
      <c r="F527" t="inlineStr">
        <is>
          <t>Card</t>
        </is>
      </c>
      <c r="G527" t="inlineStr">
        <is>
          <t>failed</t>
        </is>
      </c>
      <c r="H527" t="n">
        <v>88</v>
      </c>
      <c r="I527">
        <f>IFERROR(VLOOKUP(C527,Merchants!$A$2:$D$41,2,FALSE),"Merchant not found")</f>
        <v/>
      </c>
      <c r="J527">
        <f>IFERROR(VLOOKUP(C527,Merchants!$A$2:$D$41,3,FALSE),"Merchant not found")</f>
        <v/>
      </c>
      <c r="K527">
        <f>IFERROR(VLOOKUP(C527,Merchants!$A$2:$D$41,4,FALSE),"Merchant not found")</f>
        <v/>
      </c>
      <c r="L527" s="4">
        <f>HLOOKUP(F527,Fee_Tiers!$B$2:$E$3,2,FALSE)</f>
        <v/>
      </c>
      <c r="M527">
        <f>E527*L527</f>
        <v/>
      </c>
      <c r="N527" s="5" t="n">
        <v>46034</v>
      </c>
      <c r="O527">
        <f>C527&amp;"_"&amp;TEXT(N527,"yyyy-mm-dd")</f>
        <v/>
      </c>
      <c r="P527">
        <f>IFERROR(VLOOKUP(O527,Merchant_Day_Analysis!$A$5:$G$447,7,FALSE),"Not found")</f>
        <v/>
      </c>
    </row>
    <row r="528">
      <c r="A528" t="inlineStr">
        <is>
          <t>TXN300011</t>
        </is>
      </c>
      <c r="B528" t="n">
        <v>73</v>
      </c>
      <c r="C528" t="n">
        <v>29</v>
      </c>
      <c r="D528" s="6" t="n">
        <v>46034.37708333333</v>
      </c>
      <c r="E528" t="n">
        <v>399</v>
      </c>
      <c r="F528" t="inlineStr">
        <is>
          <t>Card</t>
        </is>
      </c>
      <c r="G528" t="inlineStr">
        <is>
          <t>captured</t>
        </is>
      </c>
      <c r="H528" t="n">
        <v>64</v>
      </c>
      <c r="I528">
        <f>IFERROR(VLOOKUP(C528,Merchants!$A$2:$D$41,2,FALSE),"Merchant not found")</f>
        <v/>
      </c>
      <c r="J528">
        <f>IFERROR(VLOOKUP(C528,Merchants!$A$2:$D$41,3,FALSE),"Merchant not found")</f>
        <v/>
      </c>
      <c r="K528">
        <f>IFERROR(VLOOKUP(C528,Merchants!$A$2:$D$41,4,FALSE),"Merchant not found")</f>
        <v/>
      </c>
      <c r="L528" s="4">
        <f>HLOOKUP(F528,Fee_Tiers!$B$2:$E$3,2,FALSE)</f>
        <v/>
      </c>
      <c r="M528">
        <f>E528*L528</f>
        <v/>
      </c>
      <c r="N528" s="5" t="n">
        <v>46034</v>
      </c>
      <c r="O528">
        <f>C528&amp;"_"&amp;TEXT(N528,"yyyy-mm-dd")</f>
        <v/>
      </c>
      <c r="P528">
        <f>IFERROR(VLOOKUP(O528,Merchant_Day_Analysis!$A$5:$G$447,7,FALSE),"Not found")</f>
        <v/>
      </c>
    </row>
    <row r="529">
      <c r="A529" t="inlineStr">
        <is>
          <t>TXN300012</t>
        </is>
      </c>
      <c r="B529" t="n">
        <v>154</v>
      </c>
      <c r="C529" t="n">
        <v>8</v>
      </c>
      <c r="D529" s="6" t="n">
        <v>46024.91666666666</v>
      </c>
      <c r="E529" t="n">
        <v>299</v>
      </c>
      <c r="F529" t="inlineStr">
        <is>
          <t>Card</t>
        </is>
      </c>
      <c r="G529" t="inlineStr">
        <is>
          <t>failed</t>
        </is>
      </c>
      <c r="H529" t="n">
        <v>81</v>
      </c>
      <c r="I529">
        <f>IFERROR(VLOOKUP(C529,Merchants!$A$2:$D$41,2,FALSE),"Merchant not found")</f>
        <v/>
      </c>
      <c r="J529">
        <f>IFERROR(VLOOKUP(C529,Merchants!$A$2:$D$41,3,FALSE),"Merchant not found")</f>
        <v/>
      </c>
      <c r="K529">
        <f>IFERROR(VLOOKUP(C529,Merchants!$A$2:$D$41,4,FALSE),"Merchant not found")</f>
        <v/>
      </c>
      <c r="L529" s="4">
        <f>HLOOKUP(F529,Fee_Tiers!$B$2:$E$3,2,FALSE)</f>
        <v/>
      </c>
      <c r="M529">
        <f>E529*L529</f>
        <v/>
      </c>
      <c r="N529" s="5" t="n">
        <v>46024</v>
      </c>
      <c r="O529">
        <f>C529&amp;"_"&amp;TEXT(N529,"yyyy-mm-dd")</f>
        <v/>
      </c>
      <c r="P529">
        <f>IFERROR(VLOOKUP(O529,Merchant_Day_Analysis!$A$5:$G$447,7,FALSE),"Not found")</f>
        <v/>
      </c>
    </row>
    <row r="530">
      <c r="A530" t="inlineStr">
        <is>
          <t>TXN300013</t>
        </is>
      </c>
      <c r="B530" t="n">
        <v>154</v>
      </c>
      <c r="C530" t="n">
        <v>7</v>
      </c>
      <c r="D530" s="6" t="n">
        <v>46024.91736111111</v>
      </c>
      <c r="E530" t="n">
        <v>499</v>
      </c>
      <c r="F530" t="inlineStr">
        <is>
          <t>Card</t>
        </is>
      </c>
      <c r="G530" t="inlineStr">
        <is>
          <t>failed</t>
        </is>
      </c>
      <c r="H530" t="n">
        <v>70</v>
      </c>
      <c r="I530">
        <f>IFERROR(VLOOKUP(C530,Merchants!$A$2:$D$41,2,FALSE),"Merchant not found")</f>
        <v/>
      </c>
      <c r="J530">
        <f>IFERROR(VLOOKUP(C530,Merchants!$A$2:$D$41,3,FALSE),"Merchant not found")</f>
        <v/>
      </c>
      <c r="K530">
        <f>IFERROR(VLOOKUP(C530,Merchants!$A$2:$D$41,4,FALSE),"Merchant not found")</f>
        <v/>
      </c>
      <c r="L530" s="4">
        <f>HLOOKUP(F530,Fee_Tiers!$B$2:$E$3,2,FALSE)</f>
        <v/>
      </c>
      <c r="M530">
        <f>E530*L530</f>
        <v/>
      </c>
      <c r="N530" s="5" t="n">
        <v>46024</v>
      </c>
      <c r="O530">
        <f>C530&amp;"_"&amp;TEXT(N530,"yyyy-mm-dd")</f>
        <v/>
      </c>
      <c r="P530">
        <f>IFERROR(VLOOKUP(O530,Merchant_Day_Analysis!$A$5:$G$447,7,FALSE),"Not found")</f>
        <v/>
      </c>
    </row>
    <row r="531">
      <c r="A531" t="inlineStr">
        <is>
          <t>TXN300014</t>
        </is>
      </c>
      <c r="B531" t="n">
        <v>154</v>
      </c>
      <c r="C531" t="n">
        <v>16</v>
      </c>
      <c r="D531" s="6" t="n">
        <v>46024.91805555556</v>
      </c>
      <c r="E531" t="n">
        <v>499</v>
      </c>
      <c r="F531" t="inlineStr">
        <is>
          <t>Card</t>
        </is>
      </c>
      <c r="G531" t="inlineStr">
        <is>
          <t>failed</t>
        </is>
      </c>
      <c r="H531" t="n">
        <v>71</v>
      </c>
      <c r="I531">
        <f>IFERROR(VLOOKUP(C531,Merchants!$A$2:$D$41,2,FALSE),"Merchant not found")</f>
        <v/>
      </c>
      <c r="J531">
        <f>IFERROR(VLOOKUP(C531,Merchants!$A$2:$D$41,3,FALSE),"Merchant not found")</f>
        <v/>
      </c>
      <c r="K531">
        <f>IFERROR(VLOOKUP(C531,Merchants!$A$2:$D$41,4,FALSE),"Merchant not found")</f>
        <v/>
      </c>
      <c r="L531" s="4">
        <f>HLOOKUP(F531,Fee_Tiers!$B$2:$E$3,2,FALSE)</f>
        <v/>
      </c>
      <c r="M531">
        <f>E531*L531</f>
        <v/>
      </c>
      <c r="N531" s="5" t="n">
        <v>46024</v>
      </c>
      <c r="O531">
        <f>C531&amp;"_"&amp;TEXT(N531,"yyyy-mm-dd")</f>
        <v/>
      </c>
      <c r="P531">
        <f>IFERROR(VLOOKUP(O531,Merchant_Day_Analysis!$A$5:$G$447,7,FALSE),"Not found")</f>
        <v/>
      </c>
    </row>
    <row r="532">
      <c r="A532" t="inlineStr">
        <is>
          <t>TXN300015</t>
        </is>
      </c>
      <c r="B532" t="n">
        <v>154</v>
      </c>
      <c r="C532" t="n">
        <v>36</v>
      </c>
      <c r="D532" s="6" t="n">
        <v>46024.91875</v>
      </c>
      <c r="E532" t="n">
        <v>299</v>
      </c>
      <c r="F532" t="inlineStr">
        <is>
          <t>Card</t>
        </is>
      </c>
      <c r="G532" t="inlineStr">
        <is>
          <t>captured</t>
        </is>
      </c>
      <c r="H532" t="n">
        <v>81</v>
      </c>
      <c r="I532">
        <f>IFERROR(VLOOKUP(C532,Merchants!$A$2:$D$41,2,FALSE),"Merchant not found")</f>
        <v/>
      </c>
      <c r="J532">
        <f>IFERROR(VLOOKUP(C532,Merchants!$A$2:$D$41,3,FALSE),"Merchant not found")</f>
        <v/>
      </c>
      <c r="K532">
        <f>IFERROR(VLOOKUP(C532,Merchants!$A$2:$D$41,4,FALSE),"Merchant not found")</f>
        <v/>
      </c>
      <c r="L532" s="4">
        <f>HLOOKUP(F532,Fee_Tiers!$B$2:$E$3,2,FALSE)</f>
        <v/>
      </c>
      <c r="M532">
        <f>E532*L532</f>
        <v/>
      </c>
      <c r="N532" s="5" t="n">
        <v>46024</v>
      </c>
      <c r="O532">
        <f>C532&amp;"_"&amp;TEXT(N532,"yyyy-mm-dd")</f>
        <v/>
      </c>
      <c r="P532">
        <f>IFERROR(VLOOKUP(O532,Merchant_Day_Analysis!$A$5:$G$447,7,FALSE),"Not found")</f>
        <v/>
      </c>
    </row>
    <row r="533">
      <c r="A533" t="inlineStr">
        <is>
          <t>TXN300016</t>
        </is>
      </c>
      <c r="B533" t="n">
        <v>287</v>
      </c>
      <c r="C533" t="n">
        <v>15</v>
      </c>
      <c r="D533" s="6" t="n">
        <v>46036.58333333334</v>
      </c>
      <c r="E533" t="n">
        <v>399</v>
      </c>
      <c r="F533" t="inlineStr">
        <is>
          <t>Card</t>
        </is>
      </c>
      <c r="G533" t="inlineStr">
        <is>
          <t>failed</t>
        </is>
      </c>
      <c r="H533" t="n">
        <v>71</v>
      </c>
      <c r="I533">
        <f>IFERROR(VLOOKUP(C533,Merchants!$A$2:$D$41,2,FALSE),"Merchant not found")</f>
        <v/>
      </c>
      <c r="J533">
        <f>IFERROR(VLOOKUP(C533,Merchants!$A$2:$D$41,3,FALSE),"Merchant not found")</f>
        <v/>
      </c>
      <c r="K533">
        <f>IFERROR(VLOOKUP(C533,Merchants!$A$2:$D$41,4,FALSE),"Merchant not found")</f>
        <v/>
      </c>
      <c r="L533" s="4">
        <f>HLOOKUP(F533,Fee_Tiers!$B$2:$E$3,2,FALSE)</f>
        <v/>
      </c>
      <c r="M533">
        <f>E533*L533</f>
        <v/>
      </c>
      <c r="N533" s="5" t="n">
        <v>46036</v>
      </c>
      <c r="O533">
        <f>C533&amp;"_"&amp;TEXT(N533,"yyyy-mm-dd")</f>
        <v/>
      </c>
      <c r="P533">
        <f>IFERROR(VLOOKUP(O533,Merchant_Day_Analysis!$A$5:$G$447,7,FALSE),"Not found")</f>
        <v/>
      </c>
    </row>
    <row r="534">
      <c r="A534" t="inlineStr">
        <is>
          <t>TXN300017</t>
        </is>
      </c>
      <c r="B534" t="n">
        <v>287</v>
      </c>
      <c r="C534" t="n">
        <v>12</v>
      </c>
      <c r="D534" s="6" t="n">
        <v>46036.58402777778</v>
      </c>
      <c r="E534" t="n">
        <v>499</v>
      </c>
      <c r="F534" t="inlineStr">
        <is>
          <t>Card</t>
        </is>
      </c>
      <c r="G534" t="inlineStr">
        <is>
          <t>failed</t>
        </is>
      </c>
      <c r="H534" t="n">
        <v>87</v>
      </c>
      <c r="I534">
        <f>IFERROR(VLOOKUP(C534,Merchants!$A$2:$D$41,2,FALSE),"Merchant not found")</f>
        <v/>
      </c>
      <c r="J534">
        <f>IFERROR(VLOOKUP(C534,Merchants!$A$2:$D$41,3,FALSE),"Merchant not found")</f>
        <v/>
      </c>
      <c r="K534">
        <f>IFERROR(VLOOKUP(C534,Merchants!$A$2:$D$41,4,FALSE),"Merchant not found")</f>
        <v/>
      </c>
      <c r="L534" s="4">
        <f>HLOOKUP(F534,Fee_Tiers!$B$2:$E$3,2,FALSE)</f>
        <v/>
      </c>
      <c r="M534">
        <f>E534*L534</f>
        <v/>
      </c>
      <c r="N534" s="5" t="n">
        <v>46036</v>
      </c>
      <c r="O534">
        <f>C534&amp;"_"&amp;TEXT(N534,"yyyy-mm-dd")</f>
        <v/>
      </c>
      <c r="P534">
        <f>IFERROR(VLOOKUP(O534,Merchant_Day_Analysis!$A$5:$G$447,7,FALSE),"Not found")</f>
        <v/>
      </c>
    </row>
    <row r="535">
      <c r="A535" t="inlineStr">
        <is>
          <t>TXN300018</t>
        </is>
      </c>
      <c r="B535" t="n">
        <v>287</v>
      </c>
      <c r="C535" t="n">
        <v>26</v>
      </c>
      <c r="D535" s="6" t="n">
        <v>46036.58472222222</v>
      </c>
      <c r="E535" t="n">
        <v>299</v>
      </c>
      <c r="F535" t="inlineStr">
        <is>
          <t>Card</t>
        </is>
      </c>
      <c r="G535" t="inlineStr">
        <is>
          <t>failed</t>
        </is>
      </c>
      <c r="H535" t="n">
        <v>72</v>
      </c>
      <c r="I535">
        <f>IFERROR(VLOOKUP(C535,Merchants!$A$2:$D$41,2,FALSE),"Merchant not found")</f>
        <v/>
      </c>
      <c r="J535">
        <f>IFERROR(VLOOKUP(C535,Merchants!$A$2:$D$41,3,FALSE),"Merchant not found")</f>
        <v/>
      </c>
      <c r="K535">
        <f>IFERROR(VLOOKUP(C535,Merchants!$A$2:$D$41,4,FALSE),"Merchant not found")</f>
        <v/>
      </c>
      <c r="L535" s="4">
        <f>HLOOKUP(F535,Fee_Tiers!$B$2:$E$3,2,FALSE)</f>
        <v/>
      </c>
      <c r="M535">
        <f>E535*L535</f>
        <v/>
      </c>
      <c r="N535" s="5" t="n">
        <v>46036</v>
      </c>
      <c r="O535">
        <f>C535&amp;"_"&amp;TEXT(N535,"yyyy-mm-dd")</f>
        <v/>
      </c>
      <c r="P535">
        <f>IFERROR(VLOOKUP(O535,Merchant_Day_Analysis!$A$5:$G$447,7,FALSE),"Not found")</f>
        <v/>
      </c>
    </row>
    <row r="536">
      <c r="A536" t="inlineStr">
        <is>
          <t>TXN300019</t>
        </is>
      </c>
      <c r="B536" t="n">
        <v>287</v>
      </c>
      <c r="C536" t="n">
        <v>29</v>
      </c>
      <c r="D536" s="6" t="n">
        <v>46036.58541666667</v>
      </c>
      <c r="E536" t="n">
        <v>499</v>
      </c>
      <c r="F536" t="inlineStr">
        <is>
          <t>Card</t>
        </is>
      </c>
      <c r="G536" t="inlineStr">
        <is>
          <t>captured</t>
        </is>
      </c>
      <c r="H536" t="n">
        <v>87</v>
      </c>
      <c r="I536">
        <f>IFERROR(VLOOKUP(C536,Merchants!$A$2:$D$41,2,FALSE),"Merchant not found")</f>
        <v/>
      </c>
      <c r="J536">
        <f>IFERROR(VLOOKUP(C536,Merchants!$A$2:$D$41,3,FALSE),"Merchant not found")</f>
        <v/>
      </c>
      <c r="K536">
        <f>IFERROR(VLOOKUP(C536,Merchants!$A$2:$D$41,4,FALSE),"Merchant not found")</f>
        <v/>
      </c>
      <c r="L536" s="4">
        <f>HLOOKUP(F536,Fee_Tiers!$B$2:$E$3,2,FALSE)</f>
        <v/>
      </c>
      <c r="M536">
        <f>E536*L536</f>
        <v/>
      </c>
      <c r="N536" s="5" t="n">
        <v>46036</v>
      </c>
      <c r="O536">
        <f>C536&amp;"_"&amp;TEXT(N536,"yyyy-mm-dd")</f>
        <v/>
      </c>
      <c r="P536">
        <f>IFERROR(VLOOKUP(O536,Merchant_Day_Analysis!$A$5:$G$447,7,FALSE),"Not found")</f>
        <v/>
      </c>
    </row>
    <row r="537">
      <c r="A537" t="inlineStr">
        <is>
          <t>TXN300020</t>
        </is>
      </c>
      <c r="B537" t="n">
        <v>200</v>
      </c>
      <c r="C537" t="n">
        <v>14</v>
      </c>
      <c r="D537" s="6" t="n">
        <v>46023.91666666666</v>
      </c>
      <c r="E537" t="n">
        <v>299</v>
      </c>
      <c r="F537" t="inlineStr">
        <is>
          <t>Card</t>
        </is>
      </c>
      <c r="G537" t="inlineStr">
        <is>
          <t>failed</t>
        </is>
      </c>
      <c r="H537" t="n">
        <v>77</v>
      </c>
      <c r="I537">
        <f>IFERROR(VLOOKUP(C537,Merchants!$A$2:$D$41,2,FALSE),"Merchant not found")</f>
        <v/>
      </c>
      <c r="J537">
        <f>IFERROR(VLOOKUP(C537,Merchants!$A$2:$D$41,3,FALSE),"Merchant not found")</f>
        <v/>
      </c>
      <c r="K537">
        <f>IFERROR(VLOOKUP(C537,Merchants!$A$2:$D$41,4,FALSE),"Merchant not found")</f>
        <v/>
      </c>
      <c r="L537" s="4">
        <f>HLOOKUP(F537,Fee_Tiers!$B$2:$E$3,2,FALSE)</f>
        <v/>
      </c>
      <c r="M537">
        <f>E537*L537</f>
        <v/>
      </c>
      <c r="N537" s="5" t="n">
        <v>46023</v>
      </c>
      <c r="O537">
        <f>C537&amp;"_"&amp;TEXT(N537,"yyyy-mm-dd")</f>
        <v/>
      </c>
      <c r="P537">
        <f>IFERROR(VLOOKUP(O537,Merchant_Day_Analysis!$A$5:$G$447,7,FALSE),"Not found")</f>
        <v/>
      </c>
    </row>
    <row r="538">
      <c r="A538" t="inlineStr">
        <is>
          <t>TXN300021</t>
        </is>
      </c>
      <c r="B538" t="n">
        <v>200</v>
      </c>
      <c r="C538" t="n">
        <v>5</v>
      </c>
      <c r="D538" s="6" t="n">
        <v>46023.91736111111</v>
      </c>
      <c r="E538" t="n">
        <v>499</v>
      </c>
      <c r="F538" t="inlineStr">
        <is>
          <t>Card</t>
        </is>
      </c>
      <c r="G538" t="inlineStr">
        <is>
          <t>failed</t>
        </is>
      </c>
      <c r="H538" t="n">
        <v>66</v>
      </c>
      <c r="I538">
        <f>IFERROR(VLOOKUP(C538,Merchants!$A$2:$D$41,2,FALSE),"Merchant not found")</f>
        <v/>
      </c>
      <c r="J538">
        <f>IFERROR(VLOOKUP(C538,Merchants!$A$2:$D$41,3,FALSE),"Merchant not found")</f>
        <v/>
      </c>
      <c r="K538">
        <f>IFERROR(VLOOKUP(C538,Merchants!$A$2:$D$41,4,FALSE),"Merchant not found")</f>
        <v/>
      </c>
      <c r="L538" s="4">
        <f>HLOOKUP(F538,Fee_Tiers!$B$2:$E$3,2,FALSE)</f>
        <v/>
      </c>
      <c r="M538">
        <f>E538*L538</f>
        <v/>
      </c>
      <c r="N538" s="5" t="n">
        <v>46023</v>
      </c>
      <c r="O538">
        <f>C538&amp;"_"&amp;TEXT(N538,"yyyy-mm-dd")</f>
        <v/>
      </c>
      <c r="P538">
        <f>IFERROR(VLOOKUP(O538,Merchant_Day_Analysis!$A$5:$G$447,7,FALSE),"Not found")</f>
        <v/>
      </c>
    </row>
    <row r="539">
      <c r="A539" t="inlineStr">
        <is>
          <t>TXN300022</t>
        </is>
      </c>
      <c r="B539" t="n">
        <v>200</v>
      </c>
      <c r="C539" t="n">
        <v>35</v>
      </c>
      <c r="D539" s="6" t="n">
        <v>46023.91805555556</v>
      </c>
      <c r="E539" t="n">
        <v>299</v>
      </c>
      <c r="F539" t="inlineStr">
        <is>
          <t>Card</t>
        </is>
      </c>
      <c r="G539" t="inlineStr">
        <is>
          <t>failed</t>
        </is>
      </c>
      <c r="H539" t="n">
        <v>83</v>
      </c>
      <c r="I539">
        <f>IFERROR(VLOOKUP(C539,Merchants!$A$2:$D$41,2,FALSE),"Merchant not found")</f>
        <v/>
      </c>
      <c r="J539">
        <f>IFERROR(VLOOKUP(C539,Merchants!$A$2:$D$41,3,FALSE),"Merchant not found")</f>
        <v/>
      </c>
      <c r="K539">
        <f>IFERROR(VLOOKUP(C539,Merchants!$A$2:$D$41,4,FALSE),"Merchant not found")</f>
        <v/>
      </c>
      <c r="L539" s="4">
        <f>HLOOKUP(F539,Fee_Tiers!$B$2:$E$3,2,FALSE)</f>
        <v/>
      </c>
      <c r="M539">
        <f>E539*L539</f>
        <v/>
      </c>
      <c r="N539" s="5" t="n">
        <v>46023</v>
      </c>
      <c r="O539">
        <f>C539&amp;"_"&amp;TEXT(N539,"yyyy-mm-dd")</f>
        <v/>
      </c>
      <c r="P539">
        <f>IFERROR(VLOOKUP(O539,Merchant_Day_Analysis!$A$5:$G$447,7,FALSE),"Not found")</f>
        <v/>
      </c>
    </row>
    <row r="540">
      <c r="A540" t="inlineStr">
        <is>
          <t>TXN300023</t>
        </is>
      </c>
      <c r="B540" t="n">
        <v>200</v>
      </c>
      <c r="C540" t="n">
        <v>21</v>
      </c>
      <c r="D540" s="6" t="n">
        <v>46023.91875</v>
      </c>
      <c r="E540" t="n">
        <v>299</v>
      </c>
      <c r="F540" t="inlineStr">
        <is>
          <t>Card</t>
        </is>
      </c>
      <c r="G540" t="inlineStr">
        <is>
          <t>captured</t>
        </is>
      </c>
      <c r="H540" t="n">
        <v>89</v>
      </c>
      <c r="I540">
        <f>IFERROR(VLOOKUP(C540,Merchants!$A$2:$D$41,2,FALSE),"Merchant not found")</f>
        <v/>
      </c>
      <c r="J540">
        <f>IFERROR(VLOOKUP(C540,Merchants!$A$2:$D$41,3,FALSE),"Merchant not found")</f>
        <v/>
      </c>
      <c r="K540">
        <f>IFERROR(VLOOKUP(C540,Merchants!$A$2:$D$41,4,FALSE),"Merchant not found")</f>
        <v/>
      </c>
      <c r="L540" s="4">
        <f>HLOOKUP(F540,Fee_Tiers!$B$2:$E$3,2,FALSE)</f>
        <v/>
      </c>
      <c r="M540">
        <f>E540*L540</f>
        <v/>
      </c>
      <c r="N540" s="5" t="n">
        <v>46023</v>
      </c>
      <c r="O540">
        <f>C540&amp;"_"&amp;TEXT(N540,"yyyy-mm-dd")</f>
        <v/>
      </c>
      <c r="P540">
        <f>IFERROR(VLOOKUP(O540,Merchant_Day_Analysis!$A$5:$G$447,7,FALSE),"Not found")</f>
        <v/>
      </c>
    </row>
    <row r="541">
      <c r="A541" t="inlineStr">
        <is>
          <t>TXN300024</t>
        </is>
      </c>
      <c r="B541" t="n">
        <v>59</v>
      </c>
      <c r="C541" t="n">
        <v>32</v>
      </c>
      <c r="D541" s="6" t="n">
        <v>46031.875</v>
      </c>
      <c r="E541" t="n">
        <v>499</v>
      </c>
      <c r="F541" t="inlineStr">
        <is>
          <t>Card</t>
        </is>
      </c>
      <c r="G541" t="inlineStr">
        <is>
          <t>failed</t>
        </is>
      </c>
      <c r="H541" t="n">
        <v>80</v>
      </c>
      <c r="I541">
        <f>IFERROR(VLOOKUP(C541,Merchants!$A$2:$D$41,2,FALSE),"Merchant not found")</f>
        <v/>
      </c>
      <c r="J541">
        <f>IFERROR(VLOOKUP(C541,Merchants!$A$2:$D$41,3,FALSE),"Merchant not found")</f>
        <v/>
      </c>
      <c r="K541">
        <f>IFERROR(VLOOKUP(C541,Merchants!$A$2:$D$41,4,FALSE),"Merchant not found")</f>
        <v/>
      </c>
      <c r="L541" s="4">
        <f>HLOOKUP(F541,Fee_Tiers!$B$2:$E$3,2,FALSE)</f>
        <v/>
      </c>
      <c r="M541">
        <f>E541*L541</f>
        <v/>
      </c>
      <c r="N541" s="5" t="n">
        <v>46031</v>
      </c>
      <c r="O541">
        <f>C541&amp;"_"&amp;TEXT(N541,"yyyy-mm-dd")</f>
        <v/>
      </c>
      <c r="P541">
        <f>IFERROR(VLOOKUP(O541,Merchant_Day_Analysis!$A$5:$G$447,7,FALSE),"Not found")</f>
        <v/>
      </c>
    </row>
    <row r="542">
      <c r="A542" t="inlineStr">
        <is>
          <t>TXN300025</t>
        </is>
      </c>
      <c r="B542" t="n">
        <v>59</v>
      </c>
      <c r="C542" t="n">
        <v>39</v>
      </c>
      <c r="D542" s="6" t="n">
        <v>46031.87569444445</v>
      </c>
      <c r="E542" t="n">
        <v>399</v>
      </c>
      <c r="F542" t="inlineStr">
        <is>
          <t>Card</t>
        </is>
      </c>
      <c r="G542" t="inlineStr">
        <is>
          <t>failed</t>
        </is>
      </c>
      <c r="H542" t="n">
        <v>85</v>
      </c>
      <c r="I542">
        <f>IFERROR(VLOOKUP(C542,Merchants!$A$2:$D$41,2,FALSE),"Merchant not found")</f>
        <v/>
      </c>
      <c r="J542">
        <f>IFERROR(VLOOKUP(C542,Merchants!$A$2:$D$41,3,FALSE),"Merchant not found")</f>
        <v/>
      </c>
      <c r="K542">
        <f>IFERROR(VLOOKUP(C542,Merchants!$A$2:$D$41,4,FALSE),"Merchant not found")</f>
        <v/>
      </c>
      <c r="L542" s="4">
        <f>HLOOKUP(F542,Fee_Tiers!$B$2:$E$3,2,FALSE)</f>
        <v/>
      </c>
      <c r="M542">
        <f>E542*L542</f>
        <v/>
      </c>
      <c r="N542" s="5" t="n">
        <v>46031</v>
      </c>
      <c r="O542">
        <f>C542&amp;"_"&amp;TEXT(N542,"yyyy-mm-dd")</f>
        <v/>
      </c>
      <c r="P542">
        <f>IFERROR(VLOOKUP(O542,Merchant_Day_Analysis!$A$5:$G$447,7,FALSE),"Not found")</f>
        <v/>
      </c>
    </row>
    <row r="543">
      <c r="A543" t="inlineStr">
        <is>
          <t>TXN300026</t>
        </is>
      </c>
      <c r="B543" t="n">
        <v>59</v>
      </c>
      <c r="C543" t="n">
        <v>38</v>
      </c>
      <c r="D543" s="6" t="n">
        <v>46031.87638888889</v>
      </c>
      <c r="E543" t="n">
        <v>299</v>
      </c>
      <c r="F543" t="inlineStr">
        <is>
          <t>Card</t>
        </is>
      </c>
      <c r="G543" t="inlineStr">
        <is>
          <t>failed</t>
        </is>
      </c>
      <c r="H543" t="n">
        <v>82</v>
      </c>
      <c r="I543">
        <f>IFERROR(VLOOKUP(C543,Merchants!$A$2:$D$41,2,FALSE),"Merchant not found")</f>
        <v/>
      </c>
      <c r="J543">
        <f>IFERROR(VLOOKUP(C543,Merchants!$A$2:$D$41,3,FALSE),"Merchant not found")</f>
        <v/>
      </c>
      <c r="K543">
        <f>IFERROR(VLOOKUP(C543,Merchants!$A$2:$D$41,4,FALSE),"Merchant not found")</f>
        <v/>
      </c>
      <c r="L543" s="4">
        <f>HLOOKUP(F543,Fee_Tiers!$B$2:$E$3,2,FALSE)</f>
        <v/>
      </c>
      <c r="M543">
        <f>E543*L543</f>
        <v/>
      </c>
      <c r="N543" s="5" t="n">
        <v>46031</v>
      </c>
      <c r="O543">
        <f>C543&amp;"_"&amp;TEXT(N543,"yyyy-mm-dd")</f>
        <v/>
      </c>
      <c r="P543">
        <f>IFERROR(VLOOKUP(O543,Merchant_Day_Analysis!$A$5:$G$447,7,FALSE),"Not found")</f>
        <v/>
      </c>
    </row>
    <row r="544">
      <c r="A544" t="inlineStr">
        <is>
          <t>TXN300027</t>
        </is>
      </c>
      <c r="B544" t="n">
        <v>59</v>
      </c>
      <c r="C544" t="n">
        <v>23</v>
      </c>
      <c r="D544" s="6" t="n">
        <v>46031.87708333333</v>
      </c>
      <c r="E544" t="n">
        <v>399</v>
      </c>
      <c r="F544" t="inlineStr">
        <is>
          <t>Card</t>
        </is>
      </c>
      <c r="G544" t="inlineStr">
        <is>
          <t>captured</t>
        </is>
      </c>
      <c r="H544" t="n">
        <v>71</v>
      </c>
      <c r="I544">
        <f>IFERROR(VLOOKUP(C544,Merchants!$A$2:$D$41,2,FALSE),"Merchant not found")</f>
        <v/>
      </c>
      <c r="J544">
        <f>IFERROR(VLOOKUP(C544,Merchants!$A$2:$D$41,3,FALSE),"Merchant not found")</f>
        <v/>
      </c>
      <c r="K544">
        <f>IFERROR(VLOOKUP(C544,Merchants!$A$2:$D$41,4,FALSE),"Merchant not found")</f>
        <v/>
      </c>
      <c r="L544" s="4">
        <f>HLOOKUP(F544,Fee_Tiers!$B$2:$E$3,2,FALSE)</f>
        <v/>
      </c>
      <c r="M544">
        <f>E544*L544</f>
        <v/>
      </c>
      <c r="N544" s="5" t="n">
        <v>46031</v>
      </c>
      <c r="O544">
        <f>C544&amp;"_"&amp;TEXT(N544,"yyyy-mm-dd")</f>
        <v/>
      </c>
      <c r="P544">
        <f>IFERROR(VLOOKUP(O544,Merchant_Day_Analysis!$A$5:$G$447,7,FALSE),"Not found")</f>
        <v/>
      </c>
    </row>
    <row r="545">
      <c r="A545" t="inlineStr">
        <is>
          <t>TXN300028</t>
        </is>
      </c>
      <c r="B545" t="n">
        <v>345</v>
      </c>
      <c r="C545" t="n">
        <v>40</v>
      </c>
      <c r="D545" s="6" t="n">
        <v>46045.375</v>
      </c>
      <c r="E545" t="n">
        <v>499</v>
      </c>
      <c r="F545" t="inlineStr">
        <is>
          <t>Card</t>
        </is>
      </c>
      <c r="G545" t="inlineStr">
        <is>
          <t>failed</t>
        </is>
      </c>
      <c r="H545" t="n">
        <v>65</v>
      </c>
      <c r="I545">
        <f>IFERROR(VLOOKUP(C545,Merchants!$A$2:$D$41,2,FALSE),"Merchant not found")</f>
        <v/>
      </c>
      <c r="J545">
        <f>IFERROR(VLOOKUP(C545,Merchants!$A$2:$D$41,3,FALSE),"Merchant not found")</f>
        <v/>
      </c>
      <c r="K545">
        <f>IFERROR(VLOOKUP(C545,Merchants!$A$2:$D$41,4,FALSE),"Merchant not found")</f>
        <v/>
      </c>
      <c r="L545" s="4">
        <f>HLOOKUP(F545,Fee_Tiers!$B$2:$E$3,2,FALSE)</f>
        <v/>
      </c>
      <c r="M545">
        <f>E545*L545</f>
        <v/>
      </c>
      <c r="N545" s="5" t="n">
        <v>46045</v>
      </c>
      <c r="O545">
        <f>C545&amp;"_"&amp;TEXT(N545,"yyyy-mm-dd")</f>
        <v/>
      </c>
      <c r="P545">
        <f>IFERROR(VLOOKUP(O545,Merchant_Day_Analysis!$A$5:$G$447,7,FALSE),"Not found")</f>
        <v/>
      </c>
    </row>
    <row r="546">
      <c r="A546" t="inlineStr">
        <is>
          <t>TXN300029</t>
        </is>
      </c>
      <c r="B546" t="n">
        <v>345</v>
      </c>
      <c r="C546" t="n">
        <v>9</v>
      </c>
      <c r="D546" s="6" t="n">
        <v>46045.37569444445</v>
      </c>
      <c r="E546" t="n">
        <v>399</v>
      </c>
      <c r="F546" t="inlineStr">
        <is>
          <t>Card</t>
        </is>
      </c>
      <c r="G546" t="inlineStr">
        <is>
          <t>failed</t>
        </is>
      </c>
      <c r="H546" t="n">
        <v>67</v>
      </c>
      <c r="I546">
        <f>IFERROR(VLOOKUP(C546,Merchants!$A$2:$D$41,2,FALSE),"Merchant not found")</f>
        <v/>
      </c>
      <c r="J546">
        <f>IFERROR(VLOOKUP(C546,Merchants!$A$2:$D$41,3,FALSE),"Merchant not found")</f>
        <v/>
      </c>
      <c r="K546">
        <f>IFERROR(VLOOKUP(C546,Merchants!$A$2:$D$41,4,FALSE),"Merchant not found")</f>
        <v/>
      </c>
      <c r="L546" s="4">
        <f>HLOOKUP(F546,Fee_Tiers!$B$2:$E$3,2,FALSE)</f>
        <v/>
      </c>
      <c r="M546">
        <f>E546*L546</f>
        <v/>
      </c>
      <c r="N546" s="5" t="n">
        <v>46045</v>
      </c>
      <c r="O546">
        <f>C546&amp;"_"&amp;TEXT(N546,"yyyy-mm-dd")</f>
        <v/>
      </c>
      <c r="P546">
        <f>IFERROR(VLOOKUP(O546,Merchant_Day_Analysis!$A$5:$G$447,7,FALSE),"Not found")</f>
        <v/>
      </c>
    </row>
    <row r="547">
      <c r="A547" t="inlineStr">
        <is>
          <t>TXN300030</t>
        </is>
      </c>
      <c r="B547" t="n">
        <v>345</v>
      </c>
      <c r="C547" t="n">
        <v>16</v>
      </c>
      <c r="D547" s="6" t="n">
        <v>46045.37638888889</v>
      </c>
      <c r="E547" t="n">
        <v>399</v>
      </c>
      <c r="F547" t="inlineStr">
        <is>
          <t>Card</t>
        </is>
      </c>
      <c r="G547" t="inlineStr">
        <is>
          <t>failed</t>
        </is>
      </c>
      <c r="H547" t="n">
        <v>67</v>
      </c>
      <c r="I547">
        <f>IFERROR(VLOOKUP(C547,Merchants!$A$2:$D$41,2,FALSE),"Merchant not found")</f>
        <v/>
      </c>
      <c r="J547">
        <f>IFERROR(VLOOKUP(C547,Merchants!$A$2:$D$41,3,FALSE),"Merchant not found")</f>
        <v/>
      </c>
      <c r="K547">
        <f>IFERROR(VLOOKUP(C547,Merchants!$A$2:$D$41,4,FALSE),"Merchant not found")</f>
        <v/>
      </c>
      <c r="L547" s="4">
        <f>HLOOKUP(F547,Fee_Tiers!$B$2:$E$3,2,FALSE)</f>
        <v/>
      </c>
      <c r="M547">
        <f>E547*L547</f>
        <v/>
      </c>
      <c r="N547" s="5" t="n">
        <v>46045</v>
      </c>
      <c r="O547">
        <f>C547&amp;"_"&amp;TEXT(N547,"yyyy-mm-dd")</f>
        <v/>
      </c>
      <c r="P547">
        <f>IFERROR(VLOOKUP(O547,Merchant_Day_Analysis!$A$5:$G$447,7,FALSE),"Not found")</f>
        <v/>
      </c>
    </row>
    <row r="548">
      <c r="A548" t="inlineStr">
        <is>
          <t>TXN300031</t>
        </is>
      </c>
      <c r="B548" t="n">
        <v>345</v>
      </c>
      <c r="C548" t="n">
        <v>12</v>
      </c>
      <c r="D548" s="6" t="n">
        <v>46045.37708333333</v>
      </c>
      <c r="E548" t="n">
        <v>399</v>
      </c>
      <c r="F548" t="inlineStr">
        <is>
          <t>Card</t>
        </is>
      </c>
      <c r="G548" t="inlineStr">
        <is>
          <t>captured</t>
        </is>
      </c>
      <c r="H548" t="n">
        <v>69</v>
      </c>
      <c r="I548">
        <f>IFERROR(VLOOKUP(C548,Merchants!$A$2:$D$41,2,FALSE),"Merchant not found")</f>
        <v/>
      </c>
      <c r="J548">
        <f>IFERROR(VLOOKUP(C548,Merchants!$A$2:$D$41,3,FALSE),"Merchant not found")</f>
        <v/>
      </c>
      <c r="K548">
        <f>IFERROR(VLOOKUP(C548,Merchants!$A$2:$D$41,4,FALSE),"Merchant not found")</f>
        <v/>
      </c>
      <c r="L548" s="4">
        <f>HLOOKUP(F548,Fee_Tiers!$B$2:$E$3,2,FALSE)</f>
        <v/>
      </c>
      <c r="M548">
        <f>E548*L548</f>
        <v/>
      </c>
      <c r="N548" s="5" t="n">
        <v>46045</v>
      </c>
      <c r="O548">
        <f>C548&amp;"_"&amp;TEXT(N548,"yyyy-mm-dd")</f>
        <v/>
      </c>
      <c r="P548">
        <f>IFERROR(VLOOKUP(O548,Merchant_Day_Analysis!$A$5:$G$447,7,FALSE),"Not found")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PIVOT-STYLE TABLES (static values, computed with pandas pivot_table/groupby — NOT live Excel PivotTables). See Transactions_View's Excel Table to build a live PivotTable in Excel yourself.</t>
        </is>
      </c>
    </row>
    <row r="3">
      <c r="A3" s="7" t="inlineStr">
        <is>
          <t>Pivot A: SUM(amount_inr) by merchant_id x status</t>
        </is>
      </c>
    </row>
    <row r="4">
      <c r="A4" s="1" t="inlineStr">
        <is>
          <t>merchant_id</t>
        </is>
      </c>
      <c r="B4" s="1" t="inlineStr">
        <is>
          <t>merchant_name</t>
        </is>
      </c>
      <c r="C4" s="1" t="inlineStr">
        <is>
          <t>captured</t>
        </is>
      </c>
      <c r="D4" s="1" t="inlineStr">
        <is>
          <t>failed</t>
        </is>
      </c>
      <c r="E4" s="1" t="inlineStr">
        <is>
          <t>chargeback</t>
        </is>
      </c>
    </row>
    <row r="5">
      <c r="A5" t="n">
        <v>1</v>
      </c>
      <c r="B5" t="inlineStr">
        <is>
          <t>Merchant_001</t>
        </is>
      </c>
      <c r="C5" t="n">
        <v>10142</v>
      </c>
      <c r="D5" t="n">
        <v>299</v>
      </c>
      <c r="E5" t="n">
        <v>0</v>
      </c>
    </row>
    <row r="6">
      <c r="A6" t="n">
        <v>2</v>
      </c>
      <c r="B6" t="inlineStr">
        <is>
          <t>Merchant_002</t>
        </is>
      </c>
      <c r="C6" t="n">
        <v>3640</v>
      </c>
      <c r="D6" t="n">
        <v>0</v>
      </c>
      <c r="E6" t="n">
        <v>0</v>
      </c>
    </row>
    <row r="7">
      <c r="A7" t="n">
        <v>3</v>
      </c>
      <c r="B7" t="inlineStr">
        <is>
          <t>Merchant_003</t>
        </is>
      </c>
      <c r="C7" t="n">
        <v>8084</v>
      </c>
      <c r="D7" t="n">
        <v>0</v>
      </c>
      <c r="E7" t="n">
        <v>149</v>
      </c>
    </row>
    <row r="8">
      <c r="A8" t="n">
        <v>4</v>
      </c>
      <c r="B8" t="inlineStr">
        <is>
          <t>Merchant_004</t>
        </is>
      </c>
      <c r="C8" t="n">
        <v>6941</v>
      </c>
      <c r="D8" t="n">
        <v>0</v>
      </c>
      <c r="E8" t="n">
        <v>0</v>
      </c>
    </row>
    <row r="9">
      <c r="A9" t="n">
        <v>5</v>
      </c>
      <c r="B9" t="inlineStr">
        <is>
          <t>Merchant_005</t>
        </is>
      </c>
      <c r="C9" t="n">
        <v>5340</v>
      </c>
      <c r="D9" t="n">
        <v>499</v>
      </c>
      <c r="E9" t="n">
        <v>0</v>
      </c>
    </row>
    <row r="10">
      <c r="A10" t="n">
        <v>6</v>
      </c>
      <c r="B10" t="inlineStr">
        <is>
          <t>Merchant_006</t>
        </is>
      </c>
      <c r="C10" t="n">
        <v>6637</v>
      </c>
      <c r="D10" t="n">
        <v>0</v>
      </c>
      <c r="E10" t="n">
        <v>799</v>
      </c>
    </row>
    <row r="11">
      <c r="A11" t="n">
        <v>7</v>
      </c>
      <c r="B11" t="inlineStr">
        <is>
          <t>Merchant_007</t>
        </is>
      </c>
      <c r="C11" t="n">
        <v>11638</v>
      </c>
      <c r="D11" t="n">
        <v>2297</v>
      </c>
      <c r="E11" t="n">
        <v>1999</v>
      </c>
    </row>
    <row r="12">
      <c r="A12" t="n">
        <v>8</v>
      </c>
      <c r="B12" t="inlineStr">
        <is>
          <t>Merchant_008</t>
        </is>
      </c>
      <c r="C12" t="n">
        <v>7086</v>
      </c>
      <c r="D12" t="n">
        <v>299</v>
      </c>
      <c r="E12" t="n">
        <v>49</v>
      </c>
    </row>
    <row r="13">
      <c r="A13" t="n">
        <v>9</v>
      </c>
      <c r="B13" t="inlineStr">
        <is>
          <t>Merchant_009</t>
        </is>
      </c>
      <c r="C13" t="n">
        <v>4485</v>
      </c>
      <c r="D13" t="n">
        <v>497</v>
      </c>
      <c r="E13" t="n">
        <v>0</v>
      </c>
    </row>
    <row r="14">
      <c r="A14" t="n">
        <v>10</v>
      </c>
      <c r="B14" t="inlineStr">
        <is>
          <t>Merchant_010</t>
        </is>
      </c>
      <c r="C14" t="n">
        <v>7639</v>
      </c>
      <c r="D14" t="n">
        <v>399</v>
      </c>
      <c r="E14" t="n">
        <v>5048</v>
      </c>
    </row>
    <row r="15">
      <c r="A15" t="n">
        <v>11</v>
      </c>
      <c r="B15" t="inlineStr">
        <is>
          <t>Merchant_011</t>
        </is>
      </c>
      <c r="C15" t="n">
        <v>9292</v>
      </c>
      <c r="D15" t="n">
        <v>1499</v>
      </c>
      <c r="E15" t="n">
        <v>149</v>
      </c>
    </row>
    <row r="16">
      <c r="A16" t="n">
        <v>12</v>
      </c>
      <c r="B16" t="inlineStr">
        <is>
          <t>Merchant_012</t>
        </is>
      </c>
      <c r="C16" t="n">
        <v>9389</v>
      </c>
      <c r="D16" t="n">
        <v>998</v>
      </c>
      <c r="E16" t="n">
        <v>0</v>
      </c>
    </row>
    <row r="17">
      <c r="A17" t="n">
        <v>13</v>
      </c>
      <c r="B17" t="inlineStr">
        <is>
          <t>Merchant_013</t>
        </is>
      </c>
      <c r="C17" t="n">
        <v>10390</v>
      </c>
      <c r="D17" t="n">
        <v>2999</v>
      </c>
      <c r="E17" t="n">
        <v>4999</v>
      </c>
    </row>
    <row r="18">
      <c r="A18" t="n">
        <v>14</v>
      </c>
      <c r="B18" t="inlineStr">
        <is>
          <t>Merchant_014</t>
        </is>
      </c>
      <c r="C18" t="n">
        <v>6189</v>
      </c>
      <c r="D18" t="n">
        <v>299</v>
      </c>
      <c r="E18" t="n">
        <v>0</v>
      </c>
    </row>
    <row r="19">
      <c r="A19" t="n">
        <v>15</v>
      </c>
      <c r="B19" t="inlineStr">
        <is>
          <t>Merchant_015</t>
        </is>
      </c>
      <c r="C19" t="n">
        <v>7439</v>
      </c>
      <c r="D19" t="n">
        <v>399</v>
      </c>
      <c r="E19" t="n">
        <v>0</v>
      </c>
    </row>
    <row r="20">
      <c r="A20" t="n">
        <v>16</v>
      </c>
      <c r="B20" t="inlineStr">
        <is>
          <t>Merchant_016</t>
        </is>
      </c>
      <c r="C20" t="n">
        <v>10183</v>
      </c>
      <c r="D20" t="n">
        <v>947</v>
      </c>
      <c r="E20" t="n">
        <v>0</v>
      </c>
    </row>
    <row r="21">
      <c r="A21" t="n">
        <v>17</v>
      </c>
      <c r="B21" t="inlineStr">
        <is>
          <t>Merchant_017</t>
        </is>
      </c>
      <c r="C21" t="n">
        <v>12738</v>
      </c>
      <c r="D21" t="n">
        <v>299</v>
      </c>
      <c r="E21" t="n">
        <v>0</v>
      </c>
    </row>
    <row r="22">
      <c r="A22" t="n">
        <v>18</v>
      </c>
      <c r="B22" t="inlineStr">
        <is>
          <t>Merchant_018</t>
        </is>
      </c>
      <c r="C22" t="n">
        <v>7089</v>
      </c>
      <c r="D22" t="n">
        <v>0</v>
      </c>
      <c r="E22" t="n">
        <v>0</v>
      </c>
    </row>
    <row r="23">
      <c r="A23" t="n">
        <v>19</v>
      </c>
      <c r="B23" t="inlineStr">
        <is>
          <t>Merchant_019</t>
        </is>
      </c>
      <c r="C23" t="n">
        <v>7239</v>
      </c>
      <c r="D23" t="n">
        <v>598</v>
      </c>
      <c r="E23" t="n">
        <v>4999</v>
      </c>
    </row>
    <row r="24">
      <c r="A24" t="n">
        <v>20</v>
      </c>
      <c r="B24" t="inlineStr">
        <is>
          <t>Merchant_020</t>
        </is>
      </c>
      <c r="C24" t="n">
        <v>4192</v>
      </c>
      <c r="D24" t="n">
        <v>49</v>
      </c>
      <c r="E24" t="n">
        <v>0</v>
      </c>
    </row>
    <row r="25">
      <c r="A25" t="n">
        <v>21</v>
      </c>
      <c r="B25" t="inlineStr">
        <is>
          <t>Merchant_021</t>
        </is>
      </c>
      <c r="C25" t="n">
        <v>3887</v>
      </c>
      <c r="D25" t="n">
        <v>4999</v>
      </c>
      <c r="E25" t="n">
        <v>0</v>
      </c>
    </row>
    <row r="26">
      <c r="A26" t="n">
        <v>22</v>
      </c>
      <c r="B26" t="inlineStr">
        <is>
          <t>Merchant_022</t>
        </is>
      </c>
      <c r="C26" t="n">
        <v>11336</v>
      </c>
      <c r="D26" t="n">
        <v>1198</v>
      </c>
      <c r="E26" t="n">
        <v>0</v>
      </c>
    </row>
    <row r="27">
      <c r="A27" t="n">
        <v>23</v>
      </c>
      <c r="B27" t="inlineStr">
        <is>
          <t>Merchant_023</t>
        </is>
      </c>
      <c r="C27" t="n">
        <v>1041</v>
      </c>
      <c r="D27" t="n">
        <v>0</v>
      </c>
      <c r="E27" t="n">
        <v>1999</v>
      </c>
    </row>
    <row r="28">
      <c r="A28" t="n">
        <v>24</v>
      </c>
      <c r="B28" t="inlineStr">
        <is>
          <t>Merchant_024</t>
        </is>
      </c>
      <c r="C28" t="n">
        <v>3438</v>
      </c>
      <c r="D28" t="n">
        <v>0</v>
      </c>
      <c r="E28" t="n">
        <v>149</v>
      </c>
    </row>
    <row r="29">
      <c r="A29" t="n">
        <v>25</v>
      </c>
      <c r="B29" t="inlineStr">
        <is>
          <t>Merchant_025</t>
        </is>
      </c>
      <c r="C29" t="n">
        <v>12534</v>
      </c>
      <c r="D29" t="n">
        <v>0</v>
      </c>
      <c r="E29" t="n">
        <v>2999</v>
      </c>
    </row>
    <row r="30">
      <c r="A30" t="n">
        <v>26</v>
      </c>
      <c r="B30" t="inlineStr">
        <is>
          <t>Merchant_026</t>
        </is>
      </c>
      <c r="C30" t="n">
        <v>2991</v>
      </c>
      <c r="D30" t="n">
        <v>2197</v>
      </c>
      <c r="E30" t="n">
        <v>0</v>
      </c>
    </row>
    <row r="31">
      <c r="A31" t="n">
        <v>27</v>
      </c>
      <c r="B31" t="inlineStr">
        <is>
          <t>Merchant_027</t>
        </is>
      </c>
      <c r="C31" t="n">
        <v>8038</v>
      </c>
      <c r="D31" t="n">
        <v>1499</v>
      </c>
      <c r="E31" t="n">
        <v>4047</v>
      </c>
    </row>
    <row r="32">
      <c r="A32" t="n">
        <v>28</v>
      </c>
      <c r="B32" t="inlineStr">
        <is>
          <t>Merchant_028</t>
        </is>
      </c>
      <c r="C32" t="n">
        <v>4493</v>
      </c>
      <c r="D32" t="n">
        <v>3048</v>
      </c>
      <c r="E32" t="n">
        <v>1999</v>
      </c>
    </row>
    <row r="33">
      <c r="A33" t="n">
        <v>29</v>
      </c>
      <c r="B33" t="inlineStr">
        <is>
          <t>Merchant_029</t>
        </is>
      </c>
      <c r="C33" t="n">
        <v>5686</v>
      </c>
      <c r="D33" t="n">
        <v>3498</v>
      </c>
      <c r="E33" t="n">
        <v>3897</v>
      </c>
    </row>
    <row r="34">
      <c r="A34" t="n">
        <v>30</v>
      </c>
      <c r="B34" t="inlineStr">
        <is>
          <t>Merchant_030</t>
        </is>
      </c>
      <c r="C34" t="n">
        <v>7384</v>
      </c>
      <c r="D34" t="n">
        <v>499</v>
      </c>
      <c r="E34" t="n">
        <v>0</v>
      </c>
    </row>
    <row r="35">
      <c r="A35" t="n">
        <v>31</v>
      </c>
      <c r="B35" t="inlineStr">
        <is>
          <t>Merchant_031</t>
        </is>
      </c>
      <c r="C35" t="n">
        <v>2640</v>
      </c>
      <c r="D35" t="n">
        <v>2146</v>
      </c>
      <c r="E35" t="n">
        <v>49</v>
      </c>
    </row>
    <row r="36">
      <c r="A36" t="n">
        <v>32</v>
      </c>
      <c r="B36" t="inlineStr">
        <is>
          <t>Merchant_032</t>
        </is>
      </c>
      <c r="C36" t="n">
        <v>2589</v>
      </c>
      <c r="D36" t="n">
        <v>3498</v>
      </c>
      <c r="E36" t="n">
        <v>1999</v>
      </c>
    </row>
    <row r="37">
      <c r="A37" t="n">
        <v>33</v>
      </c>
      <c r="B37" t="inlineStr">
        <is>
          <t>Merchant_033</t>
        </is>
      </c>
      <c r="C37" t="n">
        <v>10190</v>
      </c>
      <c r="D37" t="n">
        <v>149</v>
      </c>
      <c r="E37" t="n">
        <v>0</v>
      </c>
    </row>
    <row r="38">
      <c r="A38" t="n">
        <v>34</v>
      </c>
      <c r="B38" t="inlineStr">
        <is>
          <t>Merchant_034</t>
        </is>
      </c>
      <c r="C38" t="n">
        <v>9635</v>
      </c>
      <c r="D38" t="n">
        <v>399</v>
      </c>
      <c r="E38" t="n">
        <v>0</v>
      </c>
    </row>
    <row r="39">
      <c r="A39" t="n">
        <v>35</v>
      </c>
      <c r="B39" t="inlineStr">
        <is>
          <t>Merchant_035</t>
        </is>
      </c>
      <c r="C39" t="n">
        <v>8688</v>
      </c>
      <c r="D39" t="n">
        <v>598</v>
      </c>
      <c r="E39" t="n">
        <v>0</v>
      </c>
    </row>
    <row r="40">
      <c r="A40" t="n">
        <v>36</v>
      </c>
      <c r="B40" t="inlineStr">
        <is>
          <t>Merchant_036</t>
        </is>
      </c>
      <c r="C40" t="n">
        <v>11535</v>
      </c>
      <c r="D40" t="n">
        <v>0</v>
      </c>
      <c r="E40" t="n">
        <v>999</v>
      </c>
    </row>
    <row r="41">
      <c r="A41" t="n">
        <v>37</v>
      </c>
      <c r="B41" t="inlineStr">
        <is>
          <t>Merchant_037</t>
        </is>
      </c>
      <c r="C41" t="n">
        <v>10833</v>
      </c>
      <c r="D41" t="n">
        <v>99</v>
      </c>
      <c r="E41" t="n">
        <v>1999</v>
      </c>
    </row>
    <row r="42">
      <c r="A42" t="n">
        <v>38</v>
      </c>
      <c r="B42" t="inlineStr">
        <is>
          <t>Merchant_038</t>
        </is>
      </c>
      <c r="C42" t="n">
        <v>3342</v>
      </c>
      <c r="D42" t="n">
        <v>598</v>
      </c>
      <c r="E42" t="n">
        <v>0</v>
      </c>
    </row>
    <row r="43">
      <c r="A43" t="n">
        <v>39</v>
      </c>
      <c r="B43" t="inlineStr">
        <is>
          <t>Merchant_039</t>
        </is>
      </c>
      <c r="C43" t="n">
        <v>11291</v>
      </c>
      <c r="D43" t="n">
        <v>399</v>
      </c>
      <c r="E43" t="n">
        <v>10997</v>
      </c>
    </row>
    <row r="44">
      <c r="A44" t="n">
        <v>40</v>
      </c>
      <c r="B44" t="inlineStr">
        <is>
          <t>Merchant_040</t>
        </is>
      </c>
      <c r="C44" t="n">
        <v>3039</v>
      </c>
      <c r="D44" t="n">
        <v>548</v>
      </c>
      <c r="E44" t="n">
        <v>5148</v>
      </c>
    </row>
    <row r="47">
      <c r="A47" s="7" t="inlineStr">
        <is>
          <t>Pivot B: COUNT(transactions) by merchant_id x status</t>
        </is>
      </c>
    </row>
    <row r="48">
      <c r="A48" s="1" t="inlineStr">
        <is>
          <t>merchant_id</t>
        </is>
      </c>
      <c r="B48" s="1" t="inlineStr">
        <is>
          <t>merchant_name</t>
        </is>
      </c>
      <c r="C48" s="1" t="inlineStr">
        <is>
          <t>captured</t>
        </is>
      </c>
      <c r="D48" s="1" t="inlineStr">
        <is>
          <t>failed</t>
        </is>
      </c>
      <c r="E48" s="1" t="inlineStr">
        <is>
          <t>chargeback</t>
        </is>
      </c>
    </row>
    <row r="49">
      <c r="A49" t="n">
        <v>1</v>
      </c>
      <c r="B49" t="inlineStr">
        <is>
          <t>Merchant_001</t>
        </is>
      </c>
      <c r="C49" t="n">
        <v>8</v>
      </c>
      <c r="D49" t="n">
        <v>1</v>
      </c>
      <c r="E49" t="n">
        <v>0</v>
      </c>
    </row>
    <row r="50">
      <c r="A50" t="n">
        <v>2</v>
      </c>
      <c r="B50" t="inlineStr">
        <is>
          <t>Merchant_002</t>
        </is>
      </c>
      <c r="C50" t="n">
        <v>10</v>
      </c>
      <c r="D50" t="n">
        <v>0</v>
      </c>
      <c r="E50" t="n">
        <v>0</v>
      </c>
    </row>
    <row r="51">
      <c r="A51" t="n">
        <v>3</v>
      </c>
      <c r="B51" t="inlineStr">
        <is>
          <t>Merchant_003</t>
        </is>
      </c>
      <c r="C51" t="n">
        <v>16</v>
      </c>
      <c r="D51" t="n">
        <v>0</v>
      </c>
      <c r="E51" t="n">
        <v>1</v>
      </c>
    </row>
    <row r="52">
      <c r="A52" t="n">
        <v>4</v>
      </c>
      <c r="B52" t="inlineStr">
        <is>
          <t>Merchant_004</t>
        </is>
      </c>
      <c r="C52" t="n">
        <v>9</v>
      </c>
      <c r="D52" t="n">
        <v>0</v>
      </c>
      <c r="E52" t="n">
        <v>0</v>
      </c>
    </row>
    <row r="53">
      <c r="A53" t="n">
        <v>5</v>
      </c>
      <c r="B53" t="inlineStr">
        <is>
          <t>Merchant_005</t>
        </is>
      </c>
      <c r="C53" t="n">
        <v>10</v>
      </c>
      <c r="D53" t="n">
        <v>1</v>
      </c>
      <c r="E53" t="n">
        <v>0</v>
      </c>
    </row>
    <row r="54">
      <c r="A54" t="n">
        <v>6</v>
      </c>
      <c r="B54" t="inlineStr">
        <is>
          <t>Merchant_006</t>
        </is>
      </c>
      <c r="C54" t="n">
        <v>13</v>
      </c>
      <c r="D54" t="n">
        <v>0</v>
      </c>
      <c r="E54" t="n">
        <v>1</v>
      </c>
    </row>
    <row r="55">
      <c r="A55" t="n">
        <v>7</v>
      </c>
      <c r="B55" t="inlineStr">
        <is>
          <t>Merchant_007</t>
        </is>
      </c>
      <c r="C55" t="n">
        <v>12</v>
      </c>
      <c r="D55" t="n">
        <v>3</v>
      </c>
      <c r="E55" t="n">
        <v>1</v>
      </c>
    </row>
    <row r="56">
      <c r="A56" t="n">
        <v>8</v>
      </c>
      <c r="B56" t="inlineStr">
        <is>
          <t>Merchant_008</t>
        </is>
      </c>
      <c r="C56" t="n">
        <v>14</v>
      </c>
      <c r="D56" t="n">
        <v>1</v>
      </c>
      <c r="E56" t="n">
        <v>1</v>
      </c>
    </row>
    <row r="57">
      <c r="A57" t="n">
        <v>9</v>
      </c>
      <c r="B57" t="inlineStr">
        <is>
          <t>Merchant_009</t>
        </is>
      </c>
      <c r="C57" t="n">
        <v>15</v>
      </c>
      <c r="D57" t="n">
        <v>3</v>
      </c>
      <c r="E57" t="n">
        <v>0</v>
      </c>
    </row>
    <row r="58">
      <c r="A58" t="n">
        <v>10</v>
      </c>
      <c r="B58" t="inlineStr">
        <is>
          <t>Merchant_010</t>
        </is>
      </c>
      <c r="C58" t="n">
        <v>11</v>
      </c>
      <c r="D58" t="n">
        <v>1</v>
      </c>
      <c r="E58" t="n">
        <v>2</v>
      </c>
    </row>
    <row r="59">
      <c r="A59" t="n">
        <v>11</v>
      </c>
      <c r="B59" t="inlineStr">
        <is>
          <t>Merchant_011</t>
        </is>
      </c>
      <c r="C59" t="n">
        <v>8</v>
      </c>
      <c r="D59" t="n">
        <v>1</v>
      </c>
      <c r="E59" t="n">
        <v>1</v>
      </c>
    </row>
    <row r="60">
      <c r="A60" t="n">
        <v>12</v>
      </c>
      <c r="B60" t="inlineStr">
        <is>
          <t>Merchant_012</t>
        </is>
      </c>
      <c r="C60" t="n">
        <v>11</v>
      </c>
      <c r="D60" t="n">
        <v>2</v>
      </c>
      <c r="E60" t="n">
        <v>0</v>
      </c>
    </row>
    <row r="61">
      <c r="A61" t="n">
        <v>13</v>
      </c>
      <c r="B61" t="inlineStr">
        <is>
          <t>Merchant_013</t>
        </is>
      </c>
      <c r="C61" t="n">
        <v>10</v>
      </c>
      <c r="D61" t="n">
        <v>1</v>
      </c>
      <c r="E61" t="n">
        <v>1</v>
      </c>
    </row>
    <row r="62">
      <c r="A62" t="n">
        <v>14</v>
      </c>
      <c r="B62" t="inlineStr">
        <is>
          <t>Merchant_014</t>
        </is>
      </c>
      <c r="C62" t="n">
        <v>11</v>
      </c>
      <c r="D62" t="n">
        <v>1</v>
      </c>
      <c r="E62" t="n">
        <v>0</v>
      </c>
    </row>
    <row r="63">
      <c r="A63" t="n">
        <v>15</v>
      </c>
      <c r="B63" t="inlineStr">
        <is>
          <t>Merchant_015</t>
        </is>
      </c>
      <c r="C63" t="n">
        <v>11</v>
      </c>
      <c r="D63" t="n">
        <v>1</v>
      </c>
      <c r="E63" t="n">
        <v>0</v>
      </c>
    </row>
    <row r="64">
      <c r="A64" t="n">
        <v>16</v>
      </c>
      <c r="B64" t="inlineStr">
        <is>
          <t>Merchant_016</t>
        </is>
      </c>
      <c r="C64" t="n">
        <v>17</v>
      </c>
      <c r="D64" t="n">
        <v>3</v>
      </c>
      <c r="E64" t="n">
        <v>0</v>
      </c>
    </row>
    <row r="65">
      <c r="A65" t="n">
        <v>17</v>
      </c>
      <c r="B65" t="inlineStr">
        <is>
          <t>Merchant_017</t>
        </is>
      </c>
      <c r="C65" t="n">
        <v>12</v>
      </c>
      <c r="D65" t="n">
        <v>1</v>
      </c>
      <c r="E65" t="n">
        <v>0</v>
      </c>
    </row>
    <row r="66">
      <c r="A66" t="n">
        <v>18</v>
      </c>
      <c r="B66" t="inlineStr">
        <is>
          <t>Merchant_018</t>
        </is>
      </c>
      <c r="C66" t="n">
        <v>11</v>
      </c>
      <c r="D66" t="n">
        <v>0</v>
      </c>
      <c r="E66" t="n">
        <v>0</v>
      </c>
    </row>
    <row r="67">
      <c r="A67" t="n">
        <v>19</v>
      </c>
      <c r="B67" t="inlineStr">
        <is>
          <t>Merchant_019</t>
        </is>
      </c>
      <c r="C67" t="n">
        <v>11</v>
      </c>
      <c r="D67" t="n">
        <v>2</v>
      </c>
      <c r="E67" t="n">
        <v>1</v>
      </c>
    </row>
    <row r="68">
      <c r="A68" t="n">
        <v>20</v>
      </c>
      <c r="B68" t="inlineStr">
        <is>
          <t>Merchant_020</t>
        </is>
      </c>
      <c r="C68" t="n">
        <v>8</v>
      </c>
      <c r="D68" t="n">
        <v>1</v>
      </c>
      <c r="E68" t="n">
        <v>0</v>
      </c>
    </row>
    <row r="69">
      <c r="A69" t="n">
        <v>21</v>
      </c>
      <c r="B69" t="inlineStr">
        <is>
          <t>Merchant_021</t>
        </is>
      </c>
      <c r="C69" t="n">
        <v>13</v>
      </c>
      <c r="D69" t="n">
        <v>1</v>
      </c>
      <c r="E69" t="n">
        <v>0</v>
      </c>
    </row>
    <row r="70">
      <c r="A70" t="n">
        <v>22</v>
      </c>
      <c r="B70" t="inlineStr">
        <is>
          <t>Merchant_022</t>
        </is>
      </c>
      <c r="C70" t="n">
        <v>14</v>
      </c>
      <c r="D70" t="n">
        <v>2</v>
      </c>
      <c r="E70" t="n">
        <v>0</v>
      </c>
    </row>
    <row r="71">
      <c r="A71" t="n">
        <v>23</v>
      </c>
      <c r="B71" t="inlineStr">
        <is>
          <t>Merchant_023</t>
        </is>
      </c>
      <c r="C71" t="n">
        <v>9</v>
      </c>
      <c r="D71" t="n">
        <v>0</v>
      </c>
      <c r="E71" t="n">
        <v>1</v>
      </c>
    </row>
    <row r="72">
      <c r="A72" t="n">
        <v>24</v>
      </c>
      <c r="B72" t="inlineStr">
        <is>
          <t>Merchant_024</t>
        </is>
      </c>
      <c r="C72" t="n">
        <v>12</v>
      </c>
      <c r="D72" t="n">
        <v>0</v>
      </c>
      <c r="E72" t="n">
        <v>1</v>
      </c>
    </row>
    <row r="73">
      <c r="A73" t="n">
        <v>25</v>
      </c>
      <c r="B73" t="inlineStr">
        <is>
          <t>Merchant_025</t>
        </is>
      </c>
      <c r="C73" t="n">
        <v>16</v>
      </c>
      <c r="D73" t="n">
        <v>0</v>
      </c>
      <c r="E73" t="n">
        <v>1</v>
      </c>
    </row>
    <row r="74">
      <c r="A74" t="n">
        <v>26</v>
      </c>
      <c r="B74" t="inlineStr">
        <is>
          <t>Merchant_026</t>
        </is>
      </c>
      <c r="C74" t="n">
        <v>9</v>
      </c>
      <c r="D74" t="n">
        <v>3</v>
      </c>
      <c r="E74" t="n">
        <v>0</v>
      </c>
    </row>
    <row r="75">
      <c r="A75" t="n">
        <v>27</v>
      </c>
      <c r="B75" t="inlineStr">
        <is>
          <t>Merchant_027</t>
        </is>
      </c>
      <c r="C75" t="n">
        <v>12</v>
      </c>
      <c r="D75" t="n">
        <v>1</v>
      </c>
      <c r="E75" t="n">
        <v>3</v>
      </c>
    </row>
    <row r="76">
      <c r="A76" t="n">
        <v>28</v>
      </c>
      <c r="B76" t="inlineStr">
        <is>
          <t>Merchant_028</t>
        </is>
      </c>
      <c r="C76" t="n">
        <v>7</v>
      </c>
      <c r="D76" t="n">
        <v>2</v>
      </c>
      <c r="E76" t="n">
        <v>1</v>
      </c>
    </row>
    <row r="77">
      <c r="A77" t="n">
        <v>29</v>
      </c>
      <c r="B77" t="inlineStr">
        <is>
          <t>Merchant_029</t>
        </is>
      </c>
      <c r="C77" t="n">
        <v>14</v>
      </c>
      <c r="D77" t="n">
        <v>2</v>
      </c>
      <c r="E77" t="n">
        <v>3</v>
      </c>
    </row>
    <row r="78">
      <c r="A78" t="n">
        <v>30</v>
      </c>
      <c r="B78" t="inlineStr">
        <is>
          <t>Merchant_030</t>
        </is>
      </c>
      <c r="C78" t="n">
        <v>16</v>
      </c>
      <c r="D78" t="n">
        <v>1</v>
      </c>
      <c r="E78" t="n">
        <v>0</v>
      </c>
    </row>
    <row r="79">
      <c r="A79" t="n">
        <v>31</v>
      </c>
      <c r="B79" t="inlineStr">
        <is>
          <t>Merchant_031</t>
        </is>
      </c>
      <c r="C79" t="n">
        <v>10</v>
      </c>
      <c r="D79" t="n">
        <v>4</v>
      </c>
      <c r="E79" t="n">
        <v>1</v>
      </c>
    </row>
    <row r="80">
      <c r="A80" t="n">
        <v>32</v>
      </c>
      <c r="B80" t="inlineStr">
        <is>
          <t>Merchant_032</t>
        </is>
      </c>
      <c r="C80" t="n">
        <v>11</v>
      </c>
      <c r="D80" t="n">
        <v>2</v>
      </c>
      <c r="E80" t="n">
        <v>1</v>
      </c>
    </row>
    <row r="81">
      <c r="A81" t="n">
        <v>33</v>
      </c>
      <c r="B81" t="inlineStr">
        <is>
          <t>Merchant_033</t>
        </is>
      </c>
      <c r="C81" t="n">
        <v>10</v>
      </c>
      <c r="D81" t="n">
        <v>1</v>
      </c>
      <c r="E81" t="n">
        <v>0</v>
      </c>
    </row>
    <row r="82">
      <c r="A82" t="n">
        <v>34</v>
      </c>
      <c r="B82" t="inlineStr">
        <is>
          <t>Merchant_034</t>
        </is>
      </c>
      <c r="C82" t="n">
        <v>15</v>
      </c>
      <c r="D82" t="n">
        <v>1</v>
      </c>
      <c r="E82" t="n">
        <v>0</v>
      </c>
    </row>
    <row r="83">
      <c r="A83" t="n">
        <v>35</v>
      </c>
      <c r="B83" t="inlineStr">
        <is>
          <t>Merchant_035</t>
        </is>
      </c>
      <c r="C83" t="n">
        <v>12</v>
      </c>
      <c r="D83" t="n">
        <v>2</v>
      </c>
      <c r="E83" t="n">
        <v>0</v>
      </c>
    </row>
    <row r="84">
      <c r="A84" t="n">
        <v>36</v>
      </c>
      <c r="B84" t="inlineStr">
        <is>
          <t>Merchant_036</t>
        </is>
      </c>
      <c r="C84" t="n">
        <v>15</v>
      </c>
      <c r="D84" t="n">
        <v>0</v>
      </c>
      <c r="E84" t="n">
        <v>1</v>
      </c>
    </row>
    <row r="85">
      <c r="A85" t="n">
        <v>37</v>
      </c>
      <c r="B85" t="inlineStr">
        <is>
          <t>Merchant_037</t>
        </is>
      </c>
      <c r="C85" t="n">
        <v>17</v>
      </c>
      <c r="D85" t="n">
        <v>1</v>
      </c>
      <c r="E85" t="n">
        <v>1</v>
      </c>
    </row>
    <row r="86">
      <c r="A86" t="n">
        <v>38</v>
      </c>
      <c r="B86" t="inlineStr">
        <is>
          <t>Merchant_038</t>
        </is>
      </c>
      <c r="C86" t="n">
        <v>8</v>
      </c>
      <c r="D86" t="n">
        <v>2</v>
      </c>
      <c r="E86" t="n">
        <v>0</v>
      </c>
    </row>
    <row r="87">
      <c r="A87" t="n">
        <v>39</v>
      </c>
      <c r="B87" t="inlineStr">
        <is>
          <t>Merchant_039</t>
        </is>
      </c>
      <c r="C87" t="n">
        <v>9</v>
      </c>
      <c r="D87" t="n">
        <v>1</v>
      </c>
      <c r="E87" t="n">
        <v>3</v>
      </c>
    </row>
    <row r="88">
      <c r="A88" t="n">
        <v>40</v>
      </c>
      <c r="B88" t="inlineStr">
        <is>
          <t>Merchant_040</t>
        </is>
      </c>
      <c r="C88" t="n">
        <v>11</v>
      </c>
      <c r="D88" t="n">
        <v>2</v>
      </c>
      <c r="E88" t="n">
        <v>2</v>
      </c>
    </row>
    <row r="91">
      <c r="A91" s="7" t="inlineStr">
        <is>
          <t>Comparison: unique days transacted vs. total transaction count (per merchant)</t>
        </is>
      </c>
    </row>
    <row r="92">
      <c r="A92" s="1" t="inlineStr">
        <is>
          <t>merchant_id</t>
        </is>
      </c>
      <c r="B92" s="1" t="inlineStr">
        <is>
          <t>merchant_name</t>
        </is>
      </c>
      <c r="C92" s="1" t="inlineStr">
        <is>
          <t>unique_days_transacted</t>
        </is>
      </c>
      <c r="D92" s="1" t="inlineStr">
        <is>
          <t>total_transaction_count</t>
        </is>
      </c>
    </row>
    <row r="93">
      <c r="A93" t="n">
        <v>16</v>
      </c>
      <c r="B93" t="inlineStr">
        <is>
          <t>Merchant_016</t>
        </is>
      </c>
      <c r="C93" t="n">
        <v>15</v>
      </c>
      <c r="D93" t="n">
        <v>20</v>
      </c>
    </row>
    <row r="94">
      <c r="A94" t="n">
        <v>29</v>
      </c>
      <c r="B94" t="inlineStr">
        <is>
          <t>Merchant_029</t>
        </is>
      </c>
      <c r="C94" t="n">
        <v>13</v>
      </c>
      <c r="D94" t="n">
        <v>19</v>
      </c>
    </row>
    <row r="95">
      <c r="A95" t="n">
        <v>37</v>
      </c>
      <c r="B95" t="inlineStr">
        <is>
          <t>Merchant_037</t>
        </is>
      </c>
      <c r="C95" t="n">
        <v>16</v>
      </c>
      <c r="D95" t="n">
        <v>19</v>
      </c>
    </row>
    <row r="96">
      <c r="A96" t="n">
        <v>9</v>
      </c>
      <c r="B96" t="inlineStr">
        <is>
          <t>Merchant_009</t>
        </is>
      </c>
      <c r="C96" t="n">
        <v>14</v>
      </c>
      <c r="D96" t="n">
        <v>18</v>
      </c>
    </row>
    <row r="97">
      <c r="A97" t="n">
        <v>3</v>
      </c>
      <c r="B97" t="inlineStr">
        <is>
          <t>Merchant_003</t>
        </is>
      </c>
      <c r="C97" t="n">
        <v>13</v>
      </c>
      <c r="D97" t="n">
        <v>17</v>
      </c>
    </row>
    <row r="98">
      <c r="A98" t="n">
        <v>25</v>
      </c>
      <c r="B98" t="inlineStr">
        <is>
          <t>Merchant_025</t>
        </is>
      </c>
      <c r="C98" t="n">
        <v>11</v>
      </c>
      <c r="D98" t="n">
        <v>17</v>
      </c>
    </row>
    <row r="99">
      <c r="A99" t="n">
        <v>30</v>
      </c>
      <c r="B99" t="inlineStr">
        <is>
          <t>Merchant_030</t>
        </is>
      </c>
      <c r="C99" t="n">
        <v>13</v>
      </c>
      <c r="D99" t="n">
        <v>17</v>
      </c>
    </row>
    <row r="100">
      <c r="A100" t="n">
        <v>8</v>
      </c>
      <c r="B100" t="inlineStr">
        <is>
          <t>Merchant_008</t>
        </is>
      </c>
      <c r="C100" t="n">
        <v>13</v>
      </c>
      <c r="D100" t="n">
        <v>16</v>
      </c>
    </row>
    <row r="101">
      <c r="A101" t="n">
        <v>36</v>
      </c>
      <c r="B101" t="inlineStr">
        <is>
          <t>Merchant_036</t>
        </is>
      </c>
      <c r="C101" t="n">
        <v>12</v>
      </c>
      <c r="D101" t="n">
        <v>16</v>
      </c>
    </row>
    <row r="102">
      <c r="A102" t="n">
        <v>27</v>
      </c>
      <c r="B102" t="inlineStr">
        <is>
          <t>Merchant_027</t>
        </is>
      </c>
      <c r="C102" t="n">
        <v>13</v>
      </c>
      <c r="D102" t="n">
        <v>16</v>
      </c>
    </row>
    <row r="103">
      <c r="A103" t="n">
        <v>22</v>
      </c>
      <c r="B103" t="inlineStr">
        <is>
          <t>Merchant_022</t>
        </is>
      </c>
      <c r="C103" t="n">
        <v>11</v>
      </c>
      <c r="D103" t="n">
        <v>16</v>
      </c>
    </row>
    <row r="104">
      <c r="A104" t="n">
        <v>34</v>
      </c>
      <c r="B104" t="inlineStr">
        <is>
          <t>Merchant_034</t>
        </is>
      </c>
      <c r="C104" t="n">
        <v>12</v>
      </c>
      <c r="D104" t="n">
        <v>16</v>
      </c>
    </row>
    <row r="105">
      <c r="A105" t="n">
        <v>7</v>
      </c>
      <c r="B105" t="inlineStr">
        <is>
          <t>Merchant_007</t>
        </is>
      </c>
      <c r="C105" t="n">
        <v>11</v>
      </c>
      <c r="D105" t="n">
        <v>16</v>
      </c>
    </row>
    <row r="106">
      <c r="A106" t="n">
        <v>31</v>
      </c>
      <c r="B106" t="inlineStr">
        <is>
          <t>Merchant_031</t>
        </is>
      </c>
      <c r="C106" t="n">
        <v>14</v>
      </c>
      <c r="D106" t="n">
        <v>15</v>
      </c>
    </row>
    <row r="107">
      <c r="A107" t="n">
        <v>40</v>
      </c>
      <c r="B107" t="inlineStr">
        <is>
          <t>Merchant_040</t>
        </is>
      </c>
      <c r="C107" t="n">
        <v>13</v>
      </c>
      <c r="D107" t="n">
        <v>15</v>
      </c>
    </row>
    <row r="108">
      <c r="A108" t="n">
        <v>6</v>
      </c>
      <c r="B108" t="inlineStr">
        <is>
          <t>Merchant_006</t>
        </is>
      </c>
      <c r="C108" t="n">
        <v>12</v>
      </c>
      <c r="D108" t="n">
        <v>14</v>
      </c>
    </row>
    <row r="109">
      <c r="A109" t="n">
        <v>32</v>
      </c>
      <c r="B109" t="inlineStr">
        <is>
          <t>Merchant_032</t>
        </is>
      </c>
      <c r="C109" t="n">
        <v>12</v>
      </c>
      <c r="D109" t="n">
        <v>14</v>
      </c>
    </row>
    <row r="110">
      <c r="A110" t="n">
        <v>21</v>
      </c>
      <c r="B110" t="inlineStr">
        <is>
          <t>Merchant_021</t>
        </is>
      </c>
      <c r="C110" t="n">
        <v>13</v>
      </c>
      <c r="D110" t="n">
        <v>14</v>
      </c>
    </row>
    <row r="111">
      <c r="A111" t="n">
        <v>35</v>
      </c>
      <c r="B111" t="inlineStr">
        <is>
          <t>Merchant_035</t>
        </is>
      </c>
      <c r="C111" t="n">
        <v>11</v>
      </c>
      <c r="D111" t="n">
        <v>14</v>
      </c>
    </row>
    <row r="112">
      <c r="A112" t="n">
        <v>10</v>
      </c>
      <c r="B112" t="inlineStr">
        <is>
          <t>Merchant_010</t>
        </is>
      </c>
      <c r="C112" t="n">
        <v>12</v>
      </c>
      <c r="D112" t="n">
        <v>14</v>
      </c>
    </row>
    <row r="113">
      <c r="A113" t="n">
        <v>19</v>
      </c>
      <c r="B113" t="inlineStr">
        <is>
          <t>Merchant_019</t>
        </is>
      </c>
      <c r="C113" t="n">
        <v>12</v>
      </c>
      <c r="D113" t="n">
        <v>14</v>
      </c>
    </row>
    <row r="114">
      <c r="A114" t="n">
        <v>17</v>
      </c>
      <c r="B114" t="inlineStr">
        <is>
          <t>Merchant_017</t>
        </is>
      </c>
      <c r="C114" t="n">
        <v>10</v>
      </c>
      <c r="D114" t="n">
        <v>13</v>
      </c>
    </row>
    <row r="115">
      <c r="A115" t="n">
        <v>12</v>
      </c>
      <c r="B115" t="inlineStr">
        <is>
          <t>Merchant_012</t>
        </is>
      </c>
      <c r="C115" t="n">
        <v>9</v>
      </c>
      <c r="D115" t="n">
        <v>13</v>
      </c>
    </row>
    <row r="116">
      <c r="A116" t="n">
        <v>39</v>
      </c>
      <c r="B116" t="inlineStr">
        <is>
          <t>Merchant_039</t>
        </is>
      </c>
      <c r="C116" t="n">
        <v>10</v>
      </c>
      <c r="D116" t="n">
        <v>13</v>
      </c>
    </row>
    <row r="117">
      <c r="A117" t="n">
        <v>24</v>
      </c>
      <c r="B117" t="inlineStr">
        <is>
          <t>Merchant_024</t>
        </is>
      </c>
      <c r="C117" t="n">
        <v>11</v>
      </c>
      <c r="D117" t="n">
        <v>13</v>
      </c>
    </row>
    <row r="118">
      <c r="A118" t="n">
        <v>14</v>
      </c>
      <c r="B118" t="inlineStr">
        <is>
          <t>Merchant_014</t>
        </is>
      </c>
      <c r="C118" t="n">
        <v>11</v>
      </c>
      <c r="D118" t="n">
        <v>12</v>
      </c>
    </row>
    <row r="119">
      <c r="A119" t="n">
        <v>15</v>
      </c>
      <c r="B119" t="inlineStr">
        <is>
          <t>Merchant_015</t>
        </is>
      </c>
      <c r="C119" t="n">
        <v>10</v>
      </c>
      <c r="D119" t="n">
        <v>12</v>
      </c>
    </row>
    <row r="120">
      <c r="A120" t="n">
        <v>13</v>
      </c>
      <c r="B120" t="inlineStr">
        <is>
          <t>Merchant_013</t>
        </is>
      </c>
      <c r="C120" t="n">
        <v>11</v>
      </c>
      <c r="D120" t="n">
        <v>12</v>
      </c>
    </row>
    <row r="121">
      <c r="A121" t="n">
        <v>26</v>
      </c>
      <c r="B121" t="inlineStr">
        <is>
          <t>Merchant_026</t>
        </is>
      </c>
      <c r="C121" t="n">
        <v>11</v>
      </c>
      <c r="D121" t="n">
        <v>12</v>
      </c>
    </row>
    <row r="122">
      <c r="A122" t="n">
        <v>33</v>
      </c>
      <c r="B122" t="inlineStr">
        <is>
          <t>Merchant_033</t>
        </is>
      </c>
      <c r="C122" t="n">
        <v>10</v>
      </c>
      <c r="D122" t="n">
        <v>11</v>
      </c>
    </row>
    <row r="123">
      <c r="A123" t="n">
        <v>18</v>
      </c>
      <c r="B123" t="inlineStr">
        <is>
          <t>Merchant_018</t>
        </is>
      </c>
      <c r="C123" t="n">
        <v>9</v>
      </c>
      <c r="D123" t="n">
        <v>11</v>
      </c>
    </row>
    <row r="124">
      <c r="A124" t="n">
        <v>5</v>
      </c>
      <c r="B124" t="inlineStr">
        <is>
          <t>Merchant_005</t>
        </is>
      </c>
      <c r="C124" t="n">
        <v>9</v>
      </c>
      <c r="D124" t="n">
        <v>11</v>
      </c>
    </row>
    <row r="125">
      <c r="A125" t="n">
        <v>28</v>
      </c>
      <c r="B125" t="inlineStr">
        <is>
          <t>Merchant_028</t>
        </is>
      </c>
      <c r="C125" t="n">
        <v>10</v>
      </c>
      <c r="D125" t="n">
        <v>10</v>
      </c>
    </row>
    <row r="126">
      <c r="A126" t="n">
        <v>23</v>
      </c>
      <c r="B126" t="inlineStr">
        <is>
          <t>Merchant_023</t>
        </is>
      </c>
      <c r="C126" t="n">
        <v>8</v>
      </c>
      <c r="D126" t="n">
        <v>10</v>
      </c>
    </row>
    <row r="127">
      <c r="A127" t="n">
        <v>2</v>
      </c>
      <c r="B127" t="inlineStr">
        <is>
          <t>Merchant_002</t>
        </is>
      </c>
      <c r="C127" t="n">
        <v>9</v>
      </c>
      <c r="D127" t="n">
        <v>10</v>
      </c>
    </row>
    <row r="128">
      <c r="A128" t="n">
        <v>11</v>
      </c>
      <c r="B128" t="inlineStr">
        <is>
          <t>Merchant_011</t>
        </is>
      </c>
      <c r="C128" t="n">
        <v>9</v>
      </c>
      <c r="D128" t="n">
        <v>10</v>
      </c>
    </row>
    <row r="129">
      <c r="A129" t="n">
        <v>38</v>
      </c>
      <c r="B129" t="inlineStr">
        <is>
          <t>Merchant_038</t>
        </is>
      </c>
      <c r="C129" t="n">
        <v>8</v>
      </c>
      <c r="D129" t="n">
        <v>10</v>
      </c>
    </row>
    <row r="130">
      <c r="A130" t="n">
        <v>4</v>
      </c>
      <c r="B130" t="inlineStr">
        <is>
          <t>Merchant_004</t>
        </is>
      </c>
      <c r="C130" t="n">
        <v>7</v>
      </c>
      <c r="D130" t="n">
        <v>9</v>
      </c>
    </row>
    <row r="131">
      <c r="A131" t="n">
        <v>1</v>
      </c>
      <c r="B131" t="inlineStr">
        <is>
          <t>Merchant_001</t>
        </is>
      </c>
      <c r="C131" t="n">
        <v>7</v>
      </c>
      <c r="D131" t="n">
        <v>9</v>
      </c>
    </row>
    <row r="132">
      <c r="A132" t="n">
        <v>20</v>
      </c>
      <c r="B132" t="inlineStr">
        <is>
          <t>Merchant_020</t>
        </is>
      </c>
      <c r="C132" t="n">
        <v>8</v>
      </c>
      <c r="D132" t="n">
        <v>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2026-08-23T12:01:26Z</dcterms:created>
  <dcterms:modified xmlns:dcterms="http://purl.org/dc/terms/" xmlns:xsi="http://www.w3.org/2001/XMLSchema-instance" xsi:type="dcterms:W3CDTF">2026-08-23T12:01:26Z</dcterms:modified>
</cp:coreProperties>
</file>